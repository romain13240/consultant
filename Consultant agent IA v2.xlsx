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MRR mensuel" sheetId="3" state="visible" r:id="rId3"/>
    <sheet xmlns:r="http://schemas.openxmlformats.org/officeDocument/2006/relationships" name="Synthèse annuelle" sheetId="4" state="visible" r:id="rId4"/>
    <sheet xmlns:r="http://schemas.openxmlformats.org/officeDocument/2006/relationships" name="Temps &amp; capacité" sheetId="5" state="visible" r:id="rId5"/>
  </sheets>
  <definedNames>
    <definedName name="_xlnm._FilterDatabase" localSheetId="2" hidden="1">'MRR mensuel'!$A$3:$M$40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0 [$€-fr-FR]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171719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71E3"/>
      </patternFill>
    </fill>
  </fills>
  <borders count="2">
    <border>
      <left/>
      <right/>
      <top/>
      <bottom/>
      <diagonal/>
    </border>
    <border>
      <bottom style="thin">
        <color rgb="00E2E2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brut</a:t>
            </a:r>
          </a:p>
        </rich>
      </tx>
    </title>
    <plotArea>
      <lineChart>
        <grouping val="standard"/>
        <ser>
          <idx val="0"/>
          <order val="0"/>
          <tx>
            <strRef>
              <f>'MRR mensuel'!E3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mensuel'!$A$4:$A$40</f>
            </numRef>
          </cat>
          <val>
            <numRef>
              <f>'MRR mensuel'!$E$4:$E$40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total &amp; Net IR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'MRR mensuel'!H3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'MRR mensuel'!$A$4:$A$40</f>
            </numRef>
          </cat>
          <val>
            <numRef>
              <f>'MRR mensuel'!$H$4:$H$40</f>
            </numRef>
          </val>
        </ser>
        <ser>
          <idx val="1"/>
          <order val="1"/>
          <tx>
            <strRef>
              <f>'MRR mensuel'!I3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'MRR mensuel'!$A$4:$A$40</f>
            </numRef>
          </cat>
          <val>
            <numRef>
              <f>'MRR mensuel'!$I$4:$I$40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</cols>
  <sheetData>
    <row r="1"/>
    <row r="2"/>
    <row r="3">
      <c r="A3" s="1" t="inlineStr">
        <is>
          <t>Indicateur</t>
        </is>
      </c>
      <c r="B3" s="1" t="inlineStr">
        <is>
          <t>Valeur</t>
        </is>
      </c>
      <c r="C3" s="1" t="inlineStr">
        <is>
          <t>Lecture</t>
        </is>
      </c>
    </row>
    <row r="4">
      <c r="A4" s="2" t="inlineStr">
        <is>
          <t>MRR à 01/2030</t>
        </is>
      </c>
      <c r="B4" s="3" t="n">
        <v>11744.24174122947</v>
      </c>
      <c r="C4" s="2" t="inlineStr">
        <is>
          <t>Revenu récurrent brut fin de période</t>
        </is>
      </c>
    </row>
    <row r="5">
      <c r="A5" s="2" t="inlineStr">
        <is>
          <t>Clients actifs à 01/2030</t>
        </is>
      </c>
      <c r="B5" s="3" t="n">
        <v>63.48238779042957</v>
      </c>
      <c r="C5" s="2" t="inlineStr">
        <is>
          <t>Base d’abonnés</t>
        </is>
      </c>
    </row>
    <row r="6">
      <c r="A6" s="2" t="inlineStr">
        <is>
          <t>CA cumulé consultant + MRR</t>
        </is>
      </c>
      <c r="B6" s="3" t="n">
        <v>321123.556668181</v>
      </c>
      <c r="C6" s="2" t="inlineStr">
        <is>
          <t>Période complète</t>
        </is>
      </c>
    </row>
    <row r="7">
      <c r="A7" s="2" t="inlineStr">
        <is>
          <t>Net IR cumulé consultant</t>
        </is>
      </c>
      <c r="B7" s="3" t="n">
        <v>160561.7783340905</v>
      </c>
      <c r="C7" s="2" t="inlineStr">
        <is>
          <t>Après taux net paramétrable</t>
        </is>
      </c>
    </row>
    <row r="8">
      <c r="A8" s="2" t="inlineStr">
        <is>
          <t>Revenu total net IR fin de période</t>
        </is>
      </c>
      <c r="B8" s="3" t="n">
        <v>10012.20420394807</v>
      </c>
      <c r="C8" s="2" t="inlineStr">
        <is>
          <t>Salaire net + consultant - dépenses</t>
        </is>
      </c>
    </row>
    <row r="9"/>
    <row r="10"/>
    <row r="11">
      <c r="A11" s="2" t="inlineStr">
        <is>
          <t>Onglets</t>
        </is>
      </c>
    </row>
    <row r="12">
      <c r="A12" s="2" t="inlineStr">
        <is>
          <t>Paramètres</t>
        </is>
      </c>
      <c r="B12" s="2" t="inlineStr">
        <is>
          <t>Toutes les hypothèses modifiables</t>
        </is>
      </c>
    </row>
    <row r="13">
      <c r="A13" s="2" t="inlineStr">
        <is>
          <t>MRR mensuel</t>
        </is>
      </c>
      <c r="B13" s="2" t="inlineStr">
        <is>
          <t>Trajectoire mensuelle, CA et graphiques</t>
        </is>
      </c>
    </row>
    <row r="14">
      <c r="A14" s="2" t="inlineStr">
        <is>
          <t>Synthèse annuelle</t>
        </is>
      </c>
      <c r="B14" s="2" t="inlineStr">
        <is>
          <t>Consolidation par année</t>
        </is>
      </c>
    </row>
    <row r="15">
      <c r="A15" s="2" t="inlineStr">
        <is>
          <t>Temps &amp; capacité</t>
        </is>
      </c>
      <c r="B15" s="2" t="inlineStr">
        <is>
          <t>Présence Naval Group et temps agent 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1" customWidth="1" min="3" max="3"/>
    <col width="32" customWidth="1" min="4" max="4"/>
  </cols>
  <sheetData>
    <row r="1">
      <c r="A1" s="4" t="inlineStr">
        <is>
          <t>Paramètres du modèle — Consultant agent IA v2</t>
        </is>
      </c>
    </row>
    <row r="2"/>
    <row r="3">
      <c r="A3" s="1" t="inlineStr">
        <is>
          <t>Paramètre</t>
        </is>
      </c>
      <c r="B3" s="1" t="inlineStr">
        <is>
          <t>Valeur</t>
        </is>
      </c>
      <c r="C3" s="1" t="inlineStr">
        <is>
          <t>Unité</t>
        </is>
      </c>
      <c r="D3" s="1" t="inlineStr">
        <is>
          <t>Rôle</t>
        </is>
      </c>
    </row>
    <row r="4">
      <c r="A4" s="2" t="inlineStr">
        <is>
          <t>Prix abonnement mensuel</t>
        </is>
      </c>
      <c r="B4" s="5" t="n">
        <v>185</v>
      </c>
      <c r="C4" s="2" t="inlineStr">
        <is>
          <t>€ / client / mois</t>
        </is>
      </c>
      <c r="D4" s="2" t="inlineStr">
        <is>
          <t>MRR par client</t>
        </is>
      </c>
    </row>
    <row r="5">
      <c r="A5" s="2" t="inlineStr">
        <is>
          <t>Prix prestation déploiement</t>
        </is>
      </c>
      <c r="B5" s="5" t="n">
        <v>997</v>
      </c>
      <c r="C5" s="2" t="inlineStr">
        <is>
          <t>€ / déploiement</t>
        </is>
      </c>
      <c r="D5" s="2" t="inlineStr">
        <is>
          <t>CA one-shot</t>
        </is>
      </c>
    </row>
    <row r="6">
      <c r="A6" s="2" t="inlineStr">
        <is>
          <t>Jours travaillés/an</t>
        </is>
      </c>
      <c r="B6" s="2" t="n">
        <v>208</v>
      </c>
      <c r="C6" s="2" t="inlineStr">
        <is>
          <t>jours</t>
        </is>
      </c>
      <c r="D6" s="2" t="inlineStr">
        <is>
          <t>Capacité annuelle</t>
        </is>
      </c>
    </row>
    <row r="7">
      <c r="A7" s="2" t="inlineStr">
        <is>
          <t>Diagnostics gratuits/semaine</t>
        </is>
      </c>
      <c r="B7" s="2" t="n">
        <v>1</v>
      </c>
      <c r="C7" s="2" t="inlineStr">
        <is>
          <t>diagnostics</t>
        </is>
      </c>
      <c r="D7" s="2" t="inlineStr">
        <is>
          <t>Acquisition</t>
        </is>
      </c>
    </row>
    <row r="8">
      <c r="A8" s="2" t="inlineStr">
        <is>
          <t>Taux conversion</t>
        </is>
      </c>
      <c r="B8" s="6" t="n">
        <v>0.5</v>
      </c>
      <c r="C8" s="2" t="inlineStr">
        <is>
          <t>%</t>
        </is>
      </c>
      <c r="D8" s="2" t="inlineStr">
        <is>
          <t>Diagnostic vers déploiement</t>
        </is>
      </c>
    </row>
    <row r="9">
      <c r="A9" s="2" t="inlineStr">
        <is>
          <t>Jours/déploiement</t>
        </is>
      </c>
      <c r="B9" s="2" t="n">
        <v>2</v>
      </c>
      <c r="C9" s="2" t="inlineStr">
        <is>
          <t>jours</t>
        </is>
      </c>
      <c r="D9" s="2" t="inlineStr">
        <is>
          <t>Charge de production</t>
        </is>
      </c>
    </row>
    <row r="10">
      <c r="A10" s="2" t="inlineStr">
        <is>
          <t>Heures/diagnostic</t>
        </is>
      </c>
      <c r="B10" s="2" t="n">
        <v>1</v>
      </c>
      <c r="C10" s="2" t="inlineStr">
        <is>
          <t>heures</t>
        </is>
      </c>
      <c r="D10" s="2" t="inlineStr">
        <is>
          <t>Charge commerciale</t>
        </is>
      </c>
    </row>
    <row r="11">
      <c r="A11" s="2" t="inlineStr">
        <is>
          <t>Jours marketing/semaine</t>
        </is>
      </c>
      <c r="B11" s="2" t="n">
        <v>1</v>
      </c>
      <c r="C11" s="2" t="inlineStr">
        <is>
          <t>jours</t>
        </is>
      </c>
      <c r="D11" s="2" t="inlineStr">
        <is>
          <t>Prospection</t>
        </is>
      </c>
    </row>
    <row r="12">
      <c r="A12" s="2" t="inlineStr">
        <is>
          <t>Rétention annuelle</t>
        </is>
      </c>
      <c r="B12" s="6" t="n">
        <v>0.85</v>
      </c>
      <c r="C12" s="2" t="inlineStr">
        <is>
          <t>%</t>
        </is>
      </c>
      <c r="D12" s="2" t="inlineStr">
        <is>
          <t>Rétention abonnement</t>
        </is>
      </c>
    </row>
    <row r="13">
      <c r="A13" s="2" t="inlineStr">
        <is>
          <t>Heures/jour</t>
        </is>
      </c>
      <c r="B13" s="2" t="n">
        <v>7</v>
      </c>
      <c r="C13" s="2" t="inlineStr">
        <is>
          <t>heures</t>
        </is>
      </c>
      <c r="D13" s="2" t="inlineStr">
        <is>
          <t>Base équivalent jour</t>
        </is>
      </c>
    </row>
    <row r="14">
      <c r="A14" s="2" t="inlineStr">
        <is>
          <t>Salaire mensuel</t>
        </is>
      </c>
      <c r="B14" s="5" t="n">
        <v>3400</v>
      </c>
      <c r="C14" s="2" t="inlineStr">
        <is>
          <t>€ / mois</t>
        </is>
      </c>
      <c r="D14" s="2" t="inlineStr">
        <is>
          <t>Naval Group</t>
        </is>
      </c>
    </row>
    <row r="15">
      <c r="A15" s="2" t="inlineStr">
        <is>
          <t>Taux net salaire</t>
        </is>
      </c>
      <c r="B15" s="6" t="n">
        <v>0.9</v>
      </c>
      <c r="C15" s="2" t="inlineStr">
        <is>
          <t>%</t>
        </is>
      </c>
      <c r="D15" s="2" t="inlineStr">
        <is>
          <t>Salaire net IR</t>
        </is>
      </c>
    </row>
    <row r="16">
      <c r="A16" s="2" t="inlineStr">
        <is>
          <t>Part CA net IR</t>
        </is>
      </c>
      <c r="B16" s="6" t="n">
        <v>0.5</v>
      </c>
      <c r="C16" s="2" t="inlineStr">
        <is>
          <t>%</t>
        </is>
      </c>
      <c r="D16" s="2" t="inlineStr">
        <is>
          <t>Impôt, cotisations, API, frais</t>
        </is>
      </c>
    </row>
    <row r="17">
      <c r="A17" s="2" t="inlineStr">
        <is>
          <t>Dépenses mensuelles</t>
        </is>
      </c>
      <c r="B17" s="5" t="n">
        <v>0</v>
      </c>
      <c r="C17" s="2" t="inlineStr">
        <is>
          <t>€ / mois</t>
        </is>
      </c>
      <c r="D17" s="2" t="inlineStr">
        <is>
          <t>Charges additionnelles</t>
        </is>
      </c>
    </row>
    <row r="18">
      <c r="A18" s="2" t="inlineStr">
        <is>
          <t>Jours Naval/semaine</t>
        </is>
      </c>
      <c r="B18" s="2" t="n">
        <v>4</v>
      </c>
      <c r="C18" s="2" t="inlineStr">
        <is>
          <t>jours</t>
        </is>
      </c>
      <c r="D18" s="2" t="inlineStr">
        <is>
          <t>1 jour télétravail</t>
        </is>
      </c>
    </row>
    <row r="19">
      <c r="A19" s="2" t="inlineStr">
        <is>
          <t>Heures réelles/jour Naval</t>
        </is>
      </c>
      <c r="B19" s="2" t="n">
        <v>7</v>
      </c>
      <c r="C19" s="2" t="inlineStr">
        <is>
          <t>heures</t>
        </is>
      </c>
      <c r="D19" s="2" t="inlineStr">
        <is>
          <t>Présence réelle</t>
        </is>
      </c>
    </row>
    <row r="20">
      <c r="A20" s="2" t="inlineStr">
        <is>
          <t>Heures cérébrales/semaine</t>
        </is>
      </c>
      <c r="B20" s="2" t="n">
        <v>35</v>
      </c>
      <c r="C20" s="2" t="inlineStr">
        <is>
          <t>heures</t>
        </is>
      </c>
      <c r="D20" s="2" t="inlineStr">
        <is>
          <t>Travail cérébral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4" t="inlineStr">
        <is>
          <t>MRR mensuel — 01/2027 à 01/2030</t>
        </is>
      </c>
    </row>
    <row r="2"/>
    <row r="3">
      <c r="A3" s="1" t="inlineStr">
        <is>
          <t>Mois</t>
        </is>
      </c>
      <c r="B3" s="1" t="inlineStr">
        <is>
          <t>Clients actifs</t>
        </is>
      </c>
      <c r="C3" s="1" t="inlineStr">
        <is>
          <t>Nouveaux clients</t>
        </is>
      </c>
      <c r="D3" s="1" t="inlineStr">
        <is>
          <t>Déploiements</t>
        </is>
      </c>
      <c r="E3" s="1" t="inlineStr">
        <is>
          <t>MRR brut</t>
        </is>
      </c>
      <c r="F3" s="1" t="inlineStr">
        <is>
          <t>Net IR MRR</t>
        </is>
      </c>
      <c r="G3" s="1" t="inlineStr">
        <is>
          <t>CA déploiement</t>
        </is>
      </c>
      <c r="H3" s="1" t="inlineStr">
        <is>
          <t>CA total</t>
        </is>
      </c>
      <c r="I3" s="1" t="inlineStr">
        <is>
          <t>Net IR consultant</t>
        </is>
      </c>
      <c r="J3" s="1" t="inlineStr">
        <is>
          <t>Salaire net IR</t>
        </is>
      </c>
      <c r="K3" s="1" t="inlineStr">
        <is>
          <t>Revenu total net IR</t>
        </is>
      </c>
      <c r="L3" s="1" t="inlineStr">
        <is>
          <t>Heures business</t>
        </is>
      </c>
      <c r="M3" s="1" t="inlineStr">
        <is>
          <t>Jours business équiv.</t>
        </is>
      </c>
    </row>
    <row r="4">
      <c r="A4" s="2" t="inlineStr">
        <is>
          <t>01/27</t>
        </is>
      </c>
      <c r="B4" s="3" t="n">
        <v>2.166666666666667</v>
      </c>
      <c r="C4" s="3" t="n">
        <v>2.166666666666667</v>
      </c>
      <c r="D4" s="3" t="n">
        <v>2.166666666666667</v>
      </c>
      <c r="E4" s="3" t="n">
        <v>400.8333333333333</v>
      </c>
      <c r="F4" s="3" t="n">
        <v>200.4166666666667</v>
      </c>
      <c r="G4" s="3" t="n">
        <v>2160.166666666667</v>
      </c>
      <c r="H4" s="3" t="n">
        <v>2561</v>
      </c>
      <c r="I4" s="3" t="n">
        <v>1280.5</v>
      </c>
      <c r="J4" s="3" t="n">
        <v>3060</v>
      </c>
      <c r="K4" s="3" t="n">
        <v>4340.5</v>
      </c>
      <c r="L4" s="3" t="n">
        <v>65</v>
      </c>
      <c r="M4" s="3" t="n">
        <v>9.285714285714286</v>
      </c>
    </row>
    <row r="5">
      <c r="A5" s="2" t="inlineStr">
        <is>
          <t>02/27</t>
        </is>
      </c>
      <c r="B5" s="3" t="n">
        <v>4.304187448140951</v>
      </c>
      <c r="C5" s="3" t="n">
        <v>2.166666666666667</v>
      </c>
      <c r="D5" s="3" t="n">
        <v>2.166666666666667</v>
      </c>
      <c r="E5" s="3" t="n">
        <v>796.2746779060759</v>
      </c>
      <c r="F5" s="3" t="n">
        <v>398.137338953038</v>
      </c>
      <c r="G5" s="3" t="n">
        <v>2160.166666666667</v>
      </c>
      <c r="H5" s="3" t="n">
        <v>2956.441344572742</v>
      </c>
      <c r="I5" s="3" t="n">
        <v>1478.220672286371</v>
      </c>
      <c r="J5" s="3" t="n">
        <v>3060</v>
      </c>
      <c r="K5" s="3" t="n">
        <v>4538.220672286371</v>
      </c>
      <c r="L5" s="3" t="n">
        <v>65</v>
      </c>
      <c r="M5" s="3" t="n">
        <v>9.285714285714286</v>
      </c>
    </row>
    <row r="6">
      <c r="A6" s="2" t="inlineStr">
        <is>
          <t>03/27</t>
        </is>
      </c>
      <c r="B6" s="3" t="n">
        <v>6.412954413326075</v>
      </c>
      <c r="C6" s="3" t="n">
        <v>2.166666666666667</v>
      </c>
      <c r="D6" s="3" t="n">
        <v>2.166666666666667</v>
      </c>
      <c r="E6" s="3" t="n">
        <v>1186.396566465324</v>
      </c>
      <c r="F6" s="3" t="n">
        <v>593.1982832326619</v>
      </c>
      <c r="G6" s="3" t="n">
        <v>2160.166666666667</v>
      </c>
      <c r="H6" s="3" t="n">
        <v>3346.56323313199</v>
      </c>
      <c r="I6" s="3" t="n">
        <v>1673.281616565995</v>
      </c>
      <c r="J6" s="3" t="n">
        <v>3060</v>
      </c>
      <c r="K6" s="3" t="n">
        <v>4733.281616565995</v>
      </c>
      <c r="L6" s="3" t="n">
        <v>65</v>
      </c>
      <c r="M6" s="3" t="n">
        <v>9.285714285714286</v>
      </c>
    </row>
    <row r="7">
      <c r="A7" s="2" t="inlineStr">
        <is>
          <t>04/27</t>
        </is>
      </c>
      <c r="B7" s="3" t="n">
        <v>8.493354357035148</v>
      </c>
      <c r="C7" s="3" t="n">
        <v>2.166666666666667</v>
      </c>
      <c r="D7" s="3" t="n">
        <v>2.166666666666667</v>
      </c>
      <c r="E7" s="3" t="n">
        <v>1571.270556051502</v>
      </c>
      <c r="F7" s="3" t="n">
        <v>785.6352780257512</v>
      </c>
      <c r="G7" s="3" t="n">
        <v>2160.166666666667</v>
      </c>
      <c r="H7" s="3" t="n">
        <v>3731.437222718169</v>
      </c>
      <c r="I7" s="3" t="n">
        <v>1865.718611359084</v>
      </c>
      <c r="J7" s="3" t="n">
        <v>3060</v>
      </c>
      <c r="K7" s="3" t="n">
        <v>4925.718611359084</v>
      </c>
      <c r="L7" s="3" t="n">
        <v>65</v>
      </c>
      <c r="M7" s="3" t="n">
        <v>9.285714285714286</v>
      </c>
    </row>
    <row r="8">
      <c r="A8" s="2" t="inlineStr">
        <is>
          <t>05/27</t>
        </is>
      </c>
      <c r="B8" s="3" t="n">
        <v>10.54576887093795</v>
      </c>
      <c r="C8" s="3" t="n">
        <v>2.166666666666667</v>
      </c>
      <c r="D8" s="3" t="n">
        <v>2.166666666666667</v>
      </c>
      <c r="E8" s="3" t="n">
        <v>1950.967241123521</v>
      </c>
      <c r="F8" s="3" t="n">
        <v>975.4836205617605</v>
      </c>
      <c r="G8" s="3" t="n">
        <v>2160.166666666667</v>
      </c>
      <c r="H8" s="3" t="n">
        <v>4111.133907790188</v>
      </c>
      <c r="I8" s="3" t="n">
        <v>2055.566953895094</v>
      </c>
      <c r="J8" s="3" t="n">
        <v>3060</v>
      </c>
      <c r="K8" s="3" t="n">
        <v>5115.566953895093</v>
      </c>
      <c r="L8" s="3" t="n">
        <v>65</v>
      </c>
      <c r="M8" s="3" t="n">
        <v>9.285714285714286</v>
      </c>
    </row>
    <row r="9">
      <c r="A9" s="2" t="inlineStr">
        <is>
          <t>06/27</t>
        </is>
      </c>
      <c r="B9" s="3" t="n">
        <v>12.57057441355334</v>
      </c>
      <c r="C9" s="3" t="n">
        <v>2.166666666666667</v>
      </c>
      <c r="D9" s="3" t="n">
        <v>2.166666666666667</v>
      </c>
      <c r="E9" s="3" t="n">
        <v>2325.556266507368</v>
      </c>
      <c r="F9" s="3" t="n">
        <v>1162.778133253684</v>
      </c>
      <c r="G9" s="3" t="n">
        <v>2160.166666666667</v>
      </c>
      <c r="H9" s="3" t="n">
        <v>4485.722933174035</v>
      </c>
      <c r="I9" s="3" t="n">
        <v>2242.861466587017</v>
      </c>
      <c r="J9" s="3" t="n">
        <v>3060</v>
      </c>
      <c r="K9" s="3" t="n">
        <v>5302.861466587017</v>
      </c>
      <c r="L9" s="3" t="n">
        <v>65</v>
      </c>
      <c r="M9" s="3" t="n">
        <v>9.285714285714286</v>
      </c>
    </row>
    <row r="10">
      <c r="A10" s="2" t="inlineStr">
        <is>
          <t>07/27</t>
        </is>
      </c>
      <c r="B10" s="3" t="n">
        <v>14.56814237930013</v>
      </c>
      <c r="C10" s="3" t="n">
        <v>2.166666666666667</v>
      </c>
      <c r="D10" s="3" t="n">
        <v>2.166666666666667</v>
      </c>
      <c r="E10" s="3" t="n">
        <v>2695.106340170525</v>
      </c>
      <c r="F10" s="3" t="n">
        <v>1347.553170085263</v>
      </c>
      <c r="G10" s="3" t="n">
        <v>2160.166666666667</v>
      </c>
      <c r="H10" s="3" t="n">
        <v>4855.273006837191</v>
      </c>
      <c r="I10" s="3" t="n">
        <v>2427.636503418596</v>
      </c>
      <c r="J10" s="3" t="n">
        <v>3060</v>
      </c>
      <c r="K10" s="3" t="n">
        <v>5487.636503418596</v>
      </c>
      <c r="L10" s="3" t="n">
        <v>65</v>
      </c>
      <c r="M10" s="3" t="n">
        <v>9.285714285714286</v>
      </c>
    </row>
    <row r="11">
      <c r="A11" s="2" t="inlineStr">
        <is>
          <t>08/27</t>
        </is>
      </c>
      <c r="B11" s="3" t="n">
        <v>16.53883916661909</v>
      </c>
      <c r="C11" s="3" t="n">
        <v>2.166666666666667</v>
      </c>
      <c r="D11" s="3" t="n">
        <v>2.166666666666667</v>
      </c>
      <c r="E11" s="3" t="n">
        <v>3059.685245824533</v>
      </c>
      <c r="F11" s="3" t="n">
        <v>1529.842622912266</v>
      </c>
      <c r="G11" s="3" t="n">
        <v>2160.166666666667</v>
      </c>
      <c r="H11" s="3" t="n">
        <v>5219.851912491199</v>
      </c>
      <c r="I11" s="3" t="n">
        <v>2609.9259562456</v>
      </c>
      <c r="J11" s="3" t="n">
        <v>3060</v>
      </c>
      <c r="K11" s="3" t="n">
        <v>5669.925956245599</v>
      </c>
      <c r="L11" s="3" t="n">
        <v>65</v>
      </c>
      <c r="M11" s="3" t="n">
        <v>9.285714285714286</v>
      </c>
    </row>
    <row r="12">
      <c r="A12" s="2" t="inlineStr">
        <is>
          <t>09/27</t>
        </is>
      </c>
      <c r="B12" s="3" t="n">
        <v>18.48302624517858</v>
      </c>
      <c r="C12" s="3" t="n">
        <v>2.166666666666667</v>
      </c>
      <c r="D12" s="3" t="n">
        <v>2.166666666666667</v>
      </c>
      <c r="E12" s="3" t="n">
        <v>3419.359855358038</v>
      </c>
      <c r="F12" s="3" t="n">
        <v>1709.679927679019</v>
      </c>
      <c r="G12" s="3" t="n">
        <v>2160.166666666667</v>
      </c>
      <c r="H12" s="3" t="n">
        <v>5579.526522024704</v>
      </c>
      <c r="I12" s="3" t="n">
        <v>2789.763261012352</v>
      </c>
      <c r="J12" s="3" t="n">
        <v>3060</v>
      </c>
      <c r="K12" s="3" t="n">
        <v>5849.763261012352</v>
      </c>
      <c r="L12" s="3" t="n">
        <v>65</v>
      </c>
      <c r="M12" s="3" t="n">
        <v>9.285714285714286</v>
      </c>
    </row>
    <row r="13">
      <c r="A13" s="2" t="inlineStr">
        <is>
          <t>10/27</t>
        </is>
      </c>
      <c r="B13" s="3" t="n">
        <v>20.40106022217612</v>
      </c>
      <c r="C13" s="3" t="n">
        <v>2.166666666666667</v>
      </c>
      <c r="D13" s="3" t="n">
        <v>2.166666666666667</v>
      </c>
      <c r="E13" s="3" t="n">
        <v>3774.196141102583</v>
      </c>
      <c r="F13" s="3" t="n">
        <v>1887.098070551291</v>
      </c>
      <c r="G13" s="3" t="n">
        <v>2160.166666666667</v>
      </c>
      <c r="H13" s="3" t="n">
        <v>5934.362807769249</v>
      </c>
      <c r="I13" s="3" t="n">
        <v>2967.181403884625</v>
      </c>
      <c r="J13" s="3" t="n">
        <v>3060</v>
      </c>
      <c r="K13" s="3" t="n">
        <v>6027.181403884624</v>
      </c>
      <c r="L13" s="3" t="n">
        <v>65</v>
      </c>
      <c r="M13" s="3" t="n">
        <v>9.285714285714286</v>
      </c>
    </row>
    <row r="14">
      <c r="A14" s="2" t="inlineStr">
        <is>
          <t>11/27</t>
        </is>
      </c>
      <c r="B14" s="3" t="n">
        <v>22.29329290774813</v>
      </c>
      <c r="C14" s="3" t="n">
        <v>2.166666666666667</v>
      </c>
      <c r="D14" s="3" t="n">
        <v>2.166666666666667</v>
      </c>
      <c r="E14" s="3" t="n">
        <v>4124.259187933404</v>
      </c>
      <c r="F14" s="3" t="n">
        <v>2062.129593966702</v>
      </c>
      <c r="G14" s="3" t="n">
        <v>2160.166666666667</v>
      </c>
      <c r="H14" s="3" t="n">
        <v>6284.425854600071</v>
      </c>
      <c r="I14" s="3" t="n">
        <v>3142.212927300036</v>
      </c>
      <c r="J14" s="3" t="n">
        <v>3060</v>
      </c>
      <c r="K14" s="3" t="n">
        <v>6202.212927300036</v>
      </c>
      <c r="L14" s="3" t="n">
        <v>65</v>
      </c>
      <c r="M14" s="3" t="n">
        <v>9.285714285714286</v>
      </c>
    </row>
    <row r="15">
      <c r="A15" s="2" t="inlineStr">
        <is>
          <t>12/27</t>
        </is>
      </c>
      <c r="B15" s="3" t="n">
        <v>24.1600713794997</v>
      </c>
      <c r="C15" s="3" t="n">
        <v>2.166666666666667</v>
      </c>
      <c r="D15" s="3" t="n">
        <v>2.166666666666667</v>
      </c>
      <c r="E15" s="3" t="n">
        <v>4469.613205207444</v>
      </c>
      <c r="F15" s="3" t="n">
        <v>2234.806602603722</v>
      </c>
      <c r="G15" s="3" t="n">
        <v>2160.166666666667</v>
      </c>
      <c r="H15" s="3" t="n">
        <v>6629.779871874111</v>
      </c>
      <c r="I15" s="3" t="n">
        <v>3314.889935937055</v>
      </c>
      <c r="J15" s="3" t="n">
        <v>3060</v>
      </c>
      <c r="K15" s="3" t="n">
        <v>6374.889935937055</v>
      </c>
      <c r="L15" s="3" t="n">
        <v>65</v>
      </c>
      <c r="M15" s="3" t="n">
        <v>9.285714285714286</v>
      </c>
    </row>
    <row r="16">
      <c r="A16" s="2" t="inlineStr">
        <is>
          <t>01/28</t>
        </is>
      </c>
      <c r="B16" s="3" t="n">
        <v>26.00173804616637</v>
      </c>
      <c r="C16" s="3" t="n">
        <v>2.166666666666667</v>
      </c>
      <c r="D16" s="3" t="n">
        <v>2.166666666666667</v>
      </c>
      <c r="E16" s="3" t="n">
        <v>4810.321538540778</v>
      </c>
      <c r="F16" s="3" t="n">
        <v>2405.160769270389</v>
      </c>
      <c r="G16" s="3" t="n">
        <v>2160.166666666667</v>
      </c>
      <c r="H16" s="3" t="n">
        <v>6970.488205207444</v>
      </c>
      <c r="I16" s="3" t="n">
        <v>3485.244102603722</v>
      </c>
      <c r="J16" s="3" t="n">
        <v>3060</v>
      </c>
      <c r="K16" s="3" t="n">
        <v>6545.244102603722</v>
      </c>
      <c r="L16" s="3" t="n">
        <v>65</v>
      </c>
      <c r="M16" s="3" t="n">
        <v>9.285714285714286</v>
      </c>
    </row>
    <row r="17">
      <c r="A17" s="2" t="inlineStr">
        <is>
          <t>02/28</t>
        </is>
      </c>
      <c r="B17" s="3" t="n">
        <v>27.81863071041951</v>
      </c>
      <c r="C17" s="3" t="n">
        <v>2.166666666666667</v>
      </c>
      <c r="D17" s="3" t="n">
        <v>2.166666666666667</v>
      </c>
      <c r="E17" s="3" t="n">
        <v>5146.446681427609</v>
      </c>
      <c r="F17" s="3" t="n">
        <v>2573.223340713805</v>
      </c>
      <c r="G17" s="3" t="n">
        <v>2160.166666666667</v>
      </c>
      <c r="H17" s="3" t="n">
        <v>7306.613348094275</v>
      </c>
      <c r="I17" s="3" t="n">
        <v>3653.306674047138</v>
      </c>
      <c r="J17" s="3" t="n">
        <v>3060</v>
      </c>
      <c r="K17" s="3" t="n">
        <v>6713.306674047138</v>
      </c>
      <c r="L17" s="3" t="n">
        <v>65</v>
      </c>
      <c r="M17" s="3" t="n">
        <v>9.285714285714286</v>
      </c>
    </row>
    <row r="18">
      <c r="A18" s="2" t="inlineStr">
        <is>
          <t>03/28</t>
        </is>
      </c>
      <c r="B18" s="3" t="n">
        <v>29.61108263082686</v>
      </c>
      <c r="C18" s="3" t="n">
        <v>2.166666666666667</v>
      </c>
      <c r="D18" s="3" t="n">
        <v>2.166666666666667</v>
      </c>
      <c r="E18" s="3" t="n">
        <v>5478.05028670297</v>
      </c>
      <c r="F18" s="3" t="n">
        <v>2739.025143351485</v>
      </c>
      <c r="G18" s="3" t="n">
        <v>2160.166666666667</v>
      </c>
      <c r="H18" s="3" t="n">
        <v>7638.216953369636</v>
      </c>
      <c r="I18" s="3" t="n">
        <v>3819.108476684818</v>
      </c>
      <c r="J18" s="3" t="n">
        <v>3060</v>
      </c>
      <c r="K18" s="3" t="n">
        <v>6879.108476684818</v>
      </c>
      <c r="L18" s="3" t="n">
        <v>65</v>
      </c>
      <c r="M18" s="3" t="n">
        <v>9.285714285714286</v>
      </c>
    </row>
    <row r="19">
      <c r="A19" s="2" t="inlineStr">
        <is>
          <t>04/28</t>
        </is>
      </c>
      <c r="B19" s="3" t="n">
        <v>31.37942258297958</v>
      </c>
      <c r="C19" s="3" t="n">
        <v>2.166666666666667</v>
      </c>
      <c r="D19" s="3" t="n">
        <v>2.166666666666667</v>
      </c>
      <c r="E19" s="3" t="n">
        <v>5805.193177851222</v>
      </c>
      <c r="F19" s="3" t="n">
        <v>2902.596588925611</v>
      </c>
      <c r="G19" s="3" t="n">
        <v>2160.166666666667</v>
      </c>
      <c r="H19" s="3" t="n">
        <v>7965.359844517889</v>
      </c>
      <c r="I19" s="3" t="n">
        <v>3982.679922258944</v>
      </c>
      <c r="J19" s="3" t="n">
        <v>3060</v>
      </c>
      <c r="K19" s="3" t="n">
        <v>7042.679922258944</v>
      </c>
      <c r="L19" s="3" t="n">
        <v>65</v>
      </c>
      <c r="M19" s="3" t="n">
        <v>9.285714285714286</v>
      </c>
    </row>
    <row r="20">
      <c r="A20" s="2" t="inlineStr">
        <is>
          <t>05/28</t>
        </is>
      </c>
      <c r="B20" s="3" t="n">
        <v>33.12397491979696</v>
      </c>
      <c r="C20" s="3" t="n">
        <v>2.166666666666667</v>
      </c>
      <c r="D20" s="3" t="n">
        <v>2.166666666666667</v>
      </c>
      <c r="E20" s="3" t="n">
        <v>6127.935360162437</v>
      </c>
      <c r="F20" s="3" t="n">
        <v>3063.967680081219</v>
      </c>
      <c r="G20" s="3" t="n">
        <v>2160.166666666667</v>
      </c>
      <c r="H20" s="3" t="n">
        <v>8288.102026829103</v>
      </c>
      <c r="I20" s="3" t="n">
        <v>4144.051013414552</v>
      </c>
      <c r="J20" s="3" t="n">
        <v>3060</v>
      </c>
      <c r="K20" s="3" t="n">
        <v>7204.051013414552</v>
      </c>
      <c r="L20" s="3" t="n">
        <v>65</v>
      </c>
      <c r="M20" s="3" t="n">
        <v>9.285714285714286</v>
      </c>
    </row>
    <row r="21">
      <c r="A21" s="2" t="inlineStr">
        <is>
          <t>06/28</t>
        </is>
      </c>
      <c r="B21" s="3" t="n">
        <v>34.84505963102004</v>
      </c>
      <c r="C21" s="3" t="n">
        <v>2.166666666666667</v>
      </c>
      <c r="D21" s="3" t="n">
        <v>2.166666666666667</v>
      </c>
      <c r="E21" s="3" t="n">
        <v>6446.336031738707</v>
      </c>
      <c r="F21" s="3" t="n">
        <v>3223.168015869353</v>
      </c>
      <c r="G21" s="3" t="n">
        <v>2160.166666666667</v>
      </c>
      <c r="H21" s="3" t="n">
        <v>8606.502698405373</v>
      </c>
      <c r="I21" s="3" t="n">
        <v>4303.251349202686</v>
      </c>
      <c r="J21" s="3" t="n">
        <v>3060</v>
      </c>
      <c r="K21" s="3" t="n">
        <v>7363.251349202686</v>
      </c>
      <c r="L21" s="3" t="n">
        <v>65</v>
      </c>
      <c r="M21" s="3" t="n">
        <v>9.285714285714286</v>
      </c>
    </row>
    <row r="22">
      <c r="A22" s="2" t="inlineStr">
        <is>
          <t>07/28</t>
        </is>
      </c>
      <c r="B22" s="3" t="n">
        <v>36.5429924019048</v>
      </c>
      <c r="C22" s="3" t="n">
        <v>2.166666666666667</v>
      </c>
      <c r="D22" s="3" t="n">
        <v>2.166666666666667</v>
      </c>
      <c r="E22" s="3" t="n">
        <v>6760.453594352389</v>
      </c>
      <c r="F22" s="3" t="n">
        <v>3380.226797176194</v>
      </c>
      <c r="G22" s="3" t="n">
        <v>2160.166666666667</v>
      </c>
      <c r="H22" s="3" t="n">
        <v>8920.620261019056</v>
      </c>
      <c r="I22" s="3" t="n">
        <v>4460.310130509528</v>
      </c>
      <c r="J22" s="3" t="n">
        <v>3060</v>
      </c>
      <c r="K22" s="3" t="n">
        <v>7520.310130509528</v>
      </c>
      <c r="L22" s="3" t="n">
        <v>65</v>
      </c>
      <c r="M22" s="3" t="n">
        <v>9.285714285714286</v>
      </c>
    </row>
    <row r="23">
      <c r="A23" s="2" t="inlineStr">
        <is>
          <t>08/28</t>
        </is>
      </c>
      <c r="B23" s="3" t="n">
        <v>38.21808467112592</v>
      </c>
      <c r="C23" s="3" t="n">
        <v>2.166666666666667</v>
      </c>
      <c r="D23" s="3" t="n">
        <v>2.166666666666667</v>
      </c>
      <c r="E23" s="3" t="n">
        <v>7070.345664158294</v>
      </c>
      <c r="F23" s="3" t="n">
        <v>3535.172832079147</v>
      </c>
      <c r="G23" s="3" t="n">
        <v>2160.166666666667</v>
      </c>
      <c r="H23" s="3" t="n">
        <v>9230.51233082496</v>
      </c>
      <c r="I23" s="3" t="n">
        <v>4615.25616541248</v>
      </c>
      <c r="J23" s="3" t="n">
        <v>3060</v>
      </c>
      <c r="K23" s="3" t="n">
        <v>7675.25616541248</v>
      </c>
      <c r="L23" s="3" t="n">
        <v>65</v>
      </c>
      <c r="M23" s="3" t="n">
        <v>9.285714285714286</v>
      </c>
    </row>
    <row r="24">
      <c r="A24" s="2" t="inlineStr">
        <is>
          <t>09/28</t>
        </is>
      </c>
      <c r="B24" s="3" t="n">
        <v>39.87064368790148</v>
      </c>
      <c r="C24" s="3" t="n">
        <v>2.166666666666667</v>
      </c>
      <c r="D24" s="3" t="n">
        <v>2.166666666666667</v>
      </c>
      <c r="E24" s="3" t="n">
        <v>7376.069082261773</v>
      </c>
      <c r="F24" s="3" t="n">
        <v>3688.034541130887</v>
      </c>
      <c r="G24" s="3" t="n">
        <v>2160.166666666667</v>
      </c>
      <c r="H24" s="3" t="n">
        <v>9536.23574892844</v>
      </c>
      <c r="I24" s="3" t="n">
        <v>4768.11787446422</v>
      </c>
      <c r="J24" s="3" t="n">
        <v>3060</v>
      </c>
      <c r="K24" s="3" t="n">
        <v>7828.11787446422</v>
      </c>
      <c r="L24" s="3" t="n">
        <v>65</v>
      </c>
      <c r="M24" s="3" t="n">
        <v>9.285714285714286</v>
      </c>
    </row>
    <row r="25">
      <c r="A25" s="2" t="inlineStr">
        <is>
          <t>10/28</t>
        </is>
      </c>
      <c r="B25" s="3" t="n">
        <v>41.50097256834938</v>
      </c>
      <c r="C25" s="3" t="n">
        <v>2.166666666666667</v>
      </c>
      <c r="D25" s="3" t="n">
        <v>2.166666666666667</v>
      </c>
      <c r="E25" s="3" t="n">
        <v>7677.679925144635</v>
      </c>
      <c r="F25" s="3" t="n">
        <v>3838.839962572318</v>
      </c>
      <c r="G25" s="3" t="n">
        <v>2160.166666666667</v>
      </c>
      <c r="H25" s="3" t="n">
        <v>9837.846591811302</v>
      </c>
      <c r="I25" s="3" t="n">
        <v>4918.923295905651</v>
      </c>
      <c r="J25" s="3" t="n">
        <v>3060</v>
      </c>
      <c r="K25" s="3" t="n">
        <v>7978.923295905651</v>
      </c>
      <c r="L25" s="3" t="n">
        <v>65</v>
      </c>
      <c r="M25" s="3" t="n">
        <v>9.285714285714286</v>
      </c>
    </row>
    <row r="26">
      <c r="A26" s="2" t="inlineStr">
        <is>
          <t>11/28</t>
        </is>
      </c>
      <c r="B26" s="3" t="n">
        <v>43.10937035108559</v>
      </c>
      <c r="C26" s="3" t="n">
        <v>2.166666666666667</v>
      </c>
      <c r="D26" s="3" t="n">
        <v>2.166666666666667</v>
      </c>
      <c r="E26" s="3" t="n">
        <v>7975.233514950834</v>
      </c>
      <c r="F26" s="3" t="n">
        <v>3987.616757475417</v>
      </c>
      <c r="G26" s="3" t="n">
        <v>2160.166666666667</v>
      </c>
      <c r="H26" s="3" t="n">
        <v>10135.4001816175</v>
      </c>
      <c r="I26" s="3" t="n">
        <v>5067.70009080875</v>
      </c>
      <c r="J26" s="3" t="n">
        <v>3060</v>
      </c>
      <c r="K26" s="3" t="n">
        <v>8127.70009080875</v>
      </c>
      <c r="L26" s="3" t="n">
        <v>65</v>
      </c>
      <c r="M26" s="3" t="n">
        <v>9.285714285714286</v>
      </c>
    </row>
    <row r="27">
      <c r="A27" s="2" t="inlineStr">
        <is>
          <t>12/28</t>
        </is>
      </c>
      <c r="B27" s="3" t="n">
        <v>44.69613205207442</v>
      </c>
      <c r="C27" s="3" t="n">
        <v>2.166666666666667</v>
      </c>
      <c r="D27" s="3" t="n">
        <v>2.166666666666667</v>
      </c>
      <c r="E27" s="3" t="n">
        <v>8268.784429633768</v>
      </c>
      <c r="F27" s="3" t="n">
        <v>4134.392214816884</v>
      </c>
      <c r="G27" s="3" t="n">
        <v>2160.166666666667</v>
      </c>
      <c r="H27" s="3" t="n">
        <v>10428.95109630043</v>
      </c>
      <c r="I27" s="3" t="n">
        <v>5214.475548150217</v>
      </c>
      <c r="J27" s="3" t="n">
        <v>3060</v>
      </c>
      <c r="K27" s="3" t="n">
        <v>8274.475548150218</v>
      </c>
      <c r="L27" s="3" t="n">
        <v>65</v>
      </c>
      <c r="M27" s="3" t="n">
        <v>9.285714285714286</v>
      </c>
    </row>
    <row r="28">
      <c r="A28" s="2" t="inlineStr">
        <is>
          <t>01/29</t>
        </is>
      </c>
      <c r="B28" s="3" t="n">
        <v>46.26154871874108</v>
      </c>
      <c r="C28" s="3" t="n">
        <v>2.166666666666667</v>
      </c>
      <c r="D28" s="3" t="n">
        <v>2.166666666666667</v>
      </c>
      <c r="E28" s="3" t="n">
        <v>8558.386512967099</v>
      </c>
      <c r="F28" s="3" t="n">
        <v>4279.19325648355</v>
      </c>
      <c r="G28" s="3" t="n">
        <v>2160.166666666667</v>
      </c>
      <c r="H28" s="3" t="n">
        <v>10718.55317963377</v>
      </c>
      <c r="I28" s="3" t="n">
        <v>5359.276589816883</v>
      </c>
      <c r="J28" s="3" t="n">
        <v>3060</v>
      </c>
      <c r="K28" s="3" t="n">
        <v>8419.276589816884</v>
      </c>
      <c r="L28" s="3" t="n">
        <v>65</v>
      </c>
      <c r="M28" s="3" t="n">
        <v>9.285714285714286</v>
      </c>
    </row>
    <row r="29">
      <c r="A29" s="2" t="inlineStr">
        <is>
          <t>02/29</t>
        </is>
      </c>
      <c r="B29" s="3" t="n">
        <v>47.80590748335625</v>
      </c>
      <c r="C29" s="3" t="n">
        <v>2.166666666666667</v>
      </c>
      <c r="D29" s="3" t="n">
        <v>2.166666666666667</v>
      </c>
      <c r="E29" s="3" t="n">
        <v>8844.092884420907</v>
      </c>
      <c r="F29" s="3" t="n">
        <v>4422.046442210453</v>
      </c>
      <c r="G29" s="3" t="n">
        <v>2160.166666666667</v>
      </c>
      <c r="H29" s="3" t="n">
        <v>11004.25955108757</v>
      </c>
      <c r="I29" s="3" t="n">
        <v>5502.129775543786</v>
      </c>
      <c r="J29" s="3" t="n">
        <v>3060</v>
      </c>
      <c r="K29" s="3" t="n">
        <v>8562.129775543786</v>
      </c>
      <c r="L29" s="3" t="n">
        <v>65</v>
      </c>
      <c r="M29" s="3" t="n">
        <v>9.285714285714286</v>
      </c>
    </row>
    <row r="30">
      <c r="A30" s="2" t="inlineStr">
        <is>
          <t>03/29</t>
        </is>
      </c>
      <c r="B30" s="3" t="n">
        <v>49.3294916157025</v>
      </c>
      <c r="C30" s="3" t="n">
        <v>2.166666666666667</v>
      </c>
      <c r="D30" s="3" t="n">
        <v>2.166666666666667</v>
      </c>
      <c r="E30" s="3" t="n">
        <v>9125.955948904962</v>
      </c>
      <c r="F30" s="3" t="n">
        <v>4562.977974452481</v>
      </c>
      <c r="G30" s="3" t="n">
        <v>2160.166666666667</v>
      </c>
      <c r="H30" s="3" t="n">
        <v>11286.12261557163</v>
      </c>
      <c r="I30" s="3" t="n">
        <v>5643.061307785814</v>
      </c>
      <c r="J30" s="3" t="n">
        <v>3060</v>
      </c>
      <c r="K30" s="3" t="n">
        <v>8703.061307785814</v>
      </c>
      <c r="L30" s="3" t="n">
        <v>65</v>
      </c>
      <c r="M30" s="3" t="n">
        <v>9.285714285714286</v>
      </c>
    </row>
    <row r="31">
      <c r="A31" s="2" t="inlineStr">
        <is>
          <t>04/29</t>
        </is>
      </c>
      <c r="B31" s="3" t="n">
        <v>50.8325805750323</v>
      </c>
      <c r="C31" s="3" t="n">
        <v>2.166666666666667</v>
      </c>
      <c r="D31" s="3" t="n">
        <v>2.166666666666667</v>
      </c>
      <c r="E31" s="3" t="n">
        <v>9404.027406380976</v>
      </c>
      <c r="F31" s="3" t="n">
        <v>4702.013703190488</v>
      </c>
      <c r="G31" s="3" t="n">
        <v>2160.166666666667</v>
      </c>
      <c r="H31" s="3" t="n">
        <v>11564.19407304764</v>
      </c>
      <c r="I31" s="3" t="n">
        <v>5782.097036523821</v>
      </c>
      <c r="J31" s="3" t="n">
        <v>3060</v>
      </c>
      <c r="K31" s="3" t="n">
        <v>8842.097036523821</v>
      </c>
      <c r="L31" s="3" t="n">
        <v>65</v>
      </c>
      <c r="M31" s="3" t="n">
        <v>9.285714285714286</v>
      </c>
    </row>
    <row r="32">
      <c r="A32" s="2" t="inlineStr">
        <is>
          <t>05/29</t>
        </is>
      </c>
      <c r="B32" s="3" t="n">
        <v>52.31545006132708</v>
      </c>
      <c r="C32" s="3" t="n">
        <v>2.166666666666667</v>
      </c>
      <c r="D32" s="3" t="n">
        <v>2.166666666666667</v>
      </c>
      <c r="E32" s="3" t="n">
        <v>9678.358261345509</v>
      </c>
      <c r="F32" s="3" t="n">
        <v>4839.179130672755</v>
      </c>
      <c r="G32" s="3" t="n">
        <v>2160.166666666667</v>
      </c>
      <c r="H32" s="3" t="n">
        <v>11838.52492801218</v>
      </c>
      <c r="I32" s="3" t="n">
        <v>5919.262464006088</v>
      </c>
      <c r="J32" s="3" t="n">
        <v>3060</v>
      </c>
      <c r="K32" s="3" t="n">
        <v>8979.262464006088</v>
      </c>
      <c r="L32" s="3" t="n">
        <v>65</v>
      </c>
      <c r="M32" s="3" t="n">
        <v>9.285714285714286</v>
      </c>
    </row>
    <row r="33">
      <c r="A33" s="2" t="inlineStr">
        <is>
          <t>06/29</t>
        </is>
      </c>
      <c r="B33" s="3" t="n">
        <v>53.7783720658667</v>
      </c>
      <c r="C33" s="3" t="n">
        <v>2.166666666666667</v>
      </c>
      <c r="D33" s="3" t="n">
        <v>2.166666666666667</v>
      </c>
      <c r="E33" s="3" t="n">
        <v>9948.99883218534</v>
      </c>
      <c r="F33" s="3" t="n">
        <v>4974.49941609267</v>
      </c>
      <c r="G33" s="3" t="n">
        <v>2160.166666666667</v>
      </c>
      <c r="H33" s="3" t="n">
        <v>12109.16549885201</v>
      </c>
      <c r="I33" s="3" t="n">
        <v>6054.582749426003</v>
      </c>
      <c r="J33" s="3" t="n">
        <v>3060</v>
      </c>
      <c r="K33" s="3" t="n">
        <v>9114.582749426003</v>
      </c>
      <c r="L33" s="3" t="n">
        <v>65</v>
      </c>
      <c r="M33" s="3" t="n">
        <v>9.285714285714286</v>
      </c>
    </row>
    <row r="34">
      <c r="A34" s="2" t="inlineStr">
        <is>
          <t>07/29</t>
        </is>
      </c>
      <c r="B34" s="3" t="n">
        <v>55.22161492111875</v>
      </c>
      <c r="C34" s="3" t="n">
        <v>2.166666666666667</v>
      </c>
      <c r="D34" s="3" t="n">
        <v>2.166666666666667</v>
      </c>
      <c r="E34" s="3" t="n">
        <v>10215.99876040697</v>
      </c>
      <c r="F34" s="3" t="n">
        <v>5107.999380203484</v>
      </c>
      <c r="G34" s="3" t="n">
        <v>2160.166666666667</v>
      </c>
      <c r="H34" s="3" t="n">
        <v>12376.16542707363</v>
      </c>
      <c r="I34" s="3" t="n">
        <v>6188.082713536817</v>
      </c>
      <c r="J34" s="3" t="n">
        <v>3060</v>
      </c>
      <c r="K34" s="3" t="n">
        <v>9248.082713536816</v>
      </c>
      <c r="L34" s="3" t="n">
        <v>65</v>
      </c>
      <c r="M34" s="3" t="n">
        <v>9.285714285714286</v>
      </c>
    </row>
    <row r="35">
      <c r="A35" s="2" t="inlineStr">
        <is>
          <t>08/29</t>
        </is>
      </c>
      <c r="B35" s="3" t="n">
        <v>56.64544334995669</v>
      </c>
      <c r="C35" s="3" t="n">
        <v>2.166666666666667</v>
      </c>
      <c r="D35" s="3" t="n">
        <v>2.166666666666667</v>
      </c>
      <c r="E35" s="3" t="n">
        <v>10479.40701974199</v>
      </c>
      <c r="F35" s="3" t="n">
        <v>5239.703509870994</v>
      </c>
      <c r="G35" s="3" t="n">
        <v>2160.166666666667</v>
      </c>
      <c r="H35" s="3" t="n">
        <v>12639.57368640865</v>
      </c>
      <c r="I35" s="3" t="n">
        <v>6319.786843204327</v>
      </c>
      <c r="J35" s="3" t="n">
        <v>3060</v>
      </c>
      <c r="K35" s="3" t="n">
        <v>9379.786843204327</v>
      </c>
      <c r="L35" s="3" t="n">
        <v>65</v>
      </c>
      <c r="M35" s="3" t="n">
        <v>9.285714285714286</v>
      </c>
    </row>
    <row r="36">
      <c r="A36" s="2" t="inlineStr">
        <is>
          <t>09/29</t>
        </is>
      </c>
      <c r="B36" s="3" t="n">
        <v>58.05011851421592</v>
      </c>
      <c r="C36" s="3" t="n">
        <v>2.166666666666667</v>
      </c>
      <c r="D36" s="3" t="n">
        <v>2.166666666666667</v>
      </c>
      <c r="E36" s="3" t="n">
        <v>10739.27192512994</v>
      </c>
      <c r="F36" s="3" t="n">
        <v>5369.635962564972</v>
      </c>
      <c r="G36" s="3" t="n">
        <v>2160.166666666667</v>
      </c>
      <c r="H36" s="3" t="n">
        <v>12899.43859179661</v>
      </c>
      <c r="I36" s="3" t="n">
        <v>6449.719295898305</v>
      </c>
      <c r="J36" s="3" t="n">
        <v>3060</v>
      </c>
      <c r="K36" s="3" t="n">
        <v>9509.719295898305</v>
      </c>
      <c r="L36" s="3" t="n">
        <v>65</v>
      </c>
      <c r="M36" s="3" t="n">
        <v>9.285714285714286</v>
      </c>
    </row>
    <row r="37">
      <c r="A37" s="2" t="inlineStr">
        <is>
          <t>10/29</t>
        </is>
      </c>
      <c r="B37" s="3" t="n">
        <v>59.43589806259664</v>
      </c>
      <c r="C37" s="3" t="n">
        <v>2.166666666666667</v>
      </c>
      <c r="D37" s="3" t="n">
        <v>2.166666666666667</v>
      </c>
      <c r="E37" s="3" t="n">
        <v>10995.64114158038</v>
      </c>
      <c r="F37" s="3" t="n">
        <v>5497.820570790189</v>
      </c>
      <c r="G37" s="3" t="n">
        <v>2160.166666666667</v>
      </c>
      <c r="H37" s="3" t="n">
        <v>13155.80780824704</v>
      </c>
      <c r="I37" s="3" t="n">
        <v>6577.903904123522</v>
      </c>
      <c r="J37" s="3" t="n">
        <v>3060</v>
      </c>
      <c r="K37" s="3" t="n">
        <v>9637.903904123523</v>
      </c>
      <c r="L37" s="3" t="n">
        <v>65</v>
      </c>
      <c r="M37" s="3" t="n">
        <v>9.285714285714286</v>
      </c>
    </row>
    <row r="38">
      <c r="A38" s="2" t="inlineStr">
        <is>
          <t>11/29</t>
        </is>
      </c>
      <c r="B38" s="3" t="n">
        <v>60.80303617792241</v>
      </c>
      <c r="C38" s="3" t="n">
        <v>2.166666666666667</v>
      </c>
      <c r="D38" s="3" t="n">
        <v>2.166666666666667</v>
      </c>
      <c r="E38" s="3" t="n">
        <v>11248.56169291565</v>
      </c>
      <c r="F38" s="3" t="n">
        <v>5624.280846457823</v>
      </c>
      <c r="G38" s="3" t="n">
        <v>2160.166666666667</v>
      </c>
      <c r="H38" s="3" t="n">
        <v>13408.72835958231</v>
      </c>
      <c r="I38" s="3" t="n">
        <v>6704.364179791156</v>
      </c>
      <c r="J38" s="3" t="n">
        <v>3060</v>
      </c>
      <c r="K38" s="3" t="n">
        <v>9764.364179791155</v>
      </c>
      <c r="L38" s="3" t="n">
        <v>65</v>
      </c>
      <c r="M38" s="3" t="n">
        <v>9.285714285714286</v>
      </c>
    </row>
    <row r="39">
      <c r="A39" s="2" t="inlineStr">
        <is>
          <t>12/29</t>
        </is>
      </c>
      <c r="B39" s="3" t="n">
        <v>62.15178362376291</v>
      </c>
      <c r="C39" s="3" t="n">
        <v>2.166666666666667</v>
      </c>
      <c r="D39" s="3" t="n">
        <v>2.166666666666667</v>
      </c>
      <c r="E39" s="3" t="n">
        <v>11498.07997039614</v>
      </c>
      <c r="F39" s="3" t="n">
        <v>5749.039985198069</v>
      </c>
      <c r="G39" s="3" t="n">
        <v>2160.166666666667</v>
      </c>
      <c r="H39" s="3" t="n">
        <v>13658.2466370628</v>
      </c>
      <c r="I39" s="3" t="n">
        <v>6829.123318531402</v>
      </c>
      <c r="J39" s="3" t="n">
        <v>3060</v>
      </c>
      <c r="K39" s="3" t="n">
        <v>9889.123318531401</v>
      </c>
      <c r="L39" s="3" t="n">
        <v>65</v>
      </c>
      <c r="M39" s="3" t="n">
        <v>9.285714285714286</v>
      </c>
    </row>
    <row r="40">
      <c r="A40" s="2" t="inlineStr">
        <is>
          <t>01/30</t>
        </is>
      </c>
      <c r="B40" s="3" t="n">
        <v>63.48238779042957</v>
      </c>
      <c r="C40" s="3" t="n">
        <v>2.166666666666667</v>
      </c>
      <c r="D40" s="3" t="n">
        <v>2.166666666666667</v>
      </c>
      <c r="E40" s="3" t="n">
        <v>11744.24174122947</v>
      </c>
      <c r="F40" s="3" t="n">
        <v>5872.120870614735</v>
      </c>
      <c r="G40" s="3" t="n">
        <v>2160.166666666667</v>
      </c>
      <c r="H40" s="3" t="n">
        <v>13904.40840789614</v>
      </c>
      <c r="I40" s="3" t="n">
        <v>6952.204203948068</v>
      </c>
      <c r="J40" s="3" t="n">
        <v>3060</v>
      </c>
      <c r="K40" s="3" t="n">
        <v>10012.20420394807</v>
      </c>
      <c r="L40" s="3" t="n">
        <v>65</v>
      </c>
      <c r="M40" s="3" t="n">
        <v>9.285714285714286</v>
      </c>
    </row>
  </sheetData>
  <autoFilter ref="A3:M40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4" t="inlineStr">
        <is>
          <t>Synthèse annuelle</t>
        </is>
      </c>
    </row>
    <row r="2"/>
    <row r="3">
      <c r="A3" s="1" t="inlineStr">
        <is>
          <t>Année</t>
        </is>
      </c>
      <c r="B3" s="1" t="inlineStr">
        <is>
          <t>CA consultant + MRR</t>
        </is>
      </c>
      <c r="C3" s="1" t="inlineStr">
        <is>
          <t>Net IR consultant</t>
        </is>
      </c>
      <c r="D3" s="1" t="inlineStr">
        <is>
          <t>MRR moyen</t>
        </is>
      </c>
      <c r="E3" s="1" t="inlineStr">
        <is>
          <t>Heures business</t>
        </is>
      </c>
      <c r="F3" s="1" t="inlineStr">
        <is>
          <t>Jours business équiv.</t>
        </is>
      </c>
      <c r="G3" s="1" t="inlineStr">
        <is>
          <t>Revenu total net IR</t>
        </is>
      </c>
    </row>
    <row r="4">
      <c r="A4" s="3" t="n">
        <v>2027</v>
      </c>
      <c r="B4" s="3" t="n">
        <v>55695.51861698365</v>
      </c>
      <c r="C4" s="3" t="n">
        <v>27847.75930849182</v>
      </c>
      <c r="D4" s="3" t="n">
        <v>2481.126551415304</v>
      </c>
      <c r="E4" s="3" t="n">
        <v>780</v>
      </c>
      <c r="F4" s="3" t="n">
        <v>111.4285714285714</v>
      </c>
      <c r="G4" s="3" t="n">
        <v>64567.75930849182</v>
      </c>
    </row>
    <row r="5">
      <c r="A5" s="3" t="n">
        <v>2028</v>
      </c>
      <c r="B5" s="3" t="n">
        <v>104864.8492869254</v>
      </c>
      <c r="C5" s="3" t="n">
        <v>52432.42464346271</v>
      </c>
      <c r="D5" s="3" t="n">
        <v>6578.570773910451</v>
      </c>
      <c r="E5" s="3" t="n">
        <v>780</v>
      </c>
      <c r="F5" s="3" t="n">
        <v>111.4285714285714</v>
      </c>
      <c r="G5" s="3" t="n">
        <v>89152.42464346271</v>
      </c>
    </row>
    <row r="6">
      <c r="A6" s="3" t="n">
        <v>2029</v>
      </c>
      <c r="B6" s="3" t="n">
        <v>146658.7803563758</v>
      </c>
      <c r="C6" s="3" t="n">
        <v>73329.39017818792</v>
      </c>
      <c r="D6" s="3" t="n">
        <v>10061.39836303132</v>
      </c>
      <c r="E6" s="3" t="n">
        <v>780</v>
      </c>
      <c r="F6" s="3" t="n">
        <v>111.4285714285714</v>
      </c>
      <c r="G6" s="3" t="n">
        <v>110049.3901781879</v>
      </c>
    </row>
    <row r="7">
      <c r="A7" s="3" t="n">
        <v>2030</v>
      </c>
      <c r="B7" s="3" t="n">
        <v>13904.40840789614</v>
      </c>
      <c r="C7" s="3" t="n">
        <v>6952.204203948068</v>
      </c>
      <c r="D7" s="3" t="n">
        <v>11744.24174122947</v>
      </c>
      <c r="E7" s="3" t="n">
        <v>65</v>
      </c>
      <c r="F7" s="3" t="n">
        <v>9.285714285714286</v>
      </c>
      <c r="G7" s="3" t="n">
        <v>10012.20420394807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44" customWidth="1" min="4" max="4"/>
  </cols>
  <sheetData>
    <row r="1">
      <c r="A1" s="4" t="inlineStr">
        <is>
          <t>Temps de travail et capacité</t>
        </is>
      </c>
    </row>
    <row r="2">
      <c r="A2" s="1" t="inlineStr">
        <is>
          <t>Indicateur</t>
        </is>
      </c>
      <c r="B2" s="1" t="inlineStr">
        <is>
          <t>Valeur</t>
        </is>
      </c>
      <c r="C2" s="1" t="inlineStr">
        <is>
          <t>Unité</t>
        </is>
      </c>
      <c r="D2" s="1" t="inlineStr">
        <is>
          <t>Calcul / hypothèse</t>
        </is>
      </c>
    </row>
    <row r="3">
      <c r="A3" s="2" t="inlineStr">
        <is>
          <t>Jours annuels travaillés</t>
        </is>
      </c>
      <c r="B3" s="2" t="n">
        <v>208</v>
      </c>
      <c r="C3" s="2" t="inlineStr">
        <is>
          <t>jours</t>
        </is>
      </c>
      <c r="D3" s="2" t="inlineStr">
        <is>
          <t>Paramètre</t>
        </is>
      </c>
    </row>
    <row r="4">
      <c r="A4" s="2" t="inlineStr">
        <is>
          <t>Heures disponibles à 208 j/an</t>
        </is>
      </c>
      <c r="B4" s="2" t="n">
        <v>1456</v>
      </c>
      <c r="C4" s="2" t="inlineStr">
        <is>
          <t>heures</t>
        </is>
      </c>
      <c r="D4" s="2" t="inlineStr">
        <is>
          <t>208 × 7 h</t>
        </is>
      </c>
    </row>
    <row r="5">
      <c r="A5" s="2" t="inlineStr">
        <is>
          <t>Heures hebdo présence Naval</t>
        </is>
      </c>
      <c r="B5" s="2" t="n">
        <v>28</v>
      </c>
      <c r="C5" s="2" t="inlineStr">
        <is>
          <t>heures</t>
        </is>
      </c>
      <c r="D5" s="2" t="inlineStr">
        <is>
          <t>4 × 7 h</t>
        </is>
      </c>
    </row>
    <row r="6">
      <c r="A6" s="2" t="inlineStr">
        <is>
          <t>Heures hebdo travail cérébral</t>
        </is>
      </c>
      <c r="B6" s="2" t="n">
        <v>35</v>
      </c>
      <c r="C6" s="2" t="inlineStr">
        <is>
          <t>heures</t>
        </is>
      </c>
      <c r="D6" s="2" t="inlineStr">
        <is>
          <t>Paramètre</t>
        </is>
      </c>
    </row>
    <row r="7">
      <c r="A7" s="2" t="inlineStr">
        <is>
          <t>Heures annuelles présence Naval</t>
        </is>
      </c>
      <c r="B7" s="2" t="n">
        <v>1164.8</v>
      </c>
      <c r="C7" s="2" t="inlineStr">
        <is>
          <t>heures</t>
        </is>
      </c>
      <c r="D7" s="2" t="inlineStr">
        <is>
          <t>52 semaines × 4 × 7</t>
        </is>
      </c>
    </row>
    <row r="8">
      <c r="A8" s="2" t="inlineStr">
        <is>
          <t>Heures annuelles travail cérébral</t>
        </is>
      </c>
      <c r="B8" s="2" t="n">
        <v>1456</v>
      </c>
      <c r="C8" s="2" t="inlineStr">
        <is>
          <t>heures</t>
        </is>
      </c>
      <c r="D8" s="2" t="inlineStr">
        <is>
          <t>35 × 41,6 semaines</t>
        </is>
      </c>
    </row>
    <row r="9">
      <c r="A9" s="2" t="inlineStr">
        <is>
          <t>Jours sur site annuels</t>
        </is>
      </c>
      <c r="B9" s="2" t="n">
        <v>166.4</v>
      </c>
      <c r="C9" s="2" t="inlineStr">
        <is>
          <t>jours</t>
        </is>
      </c>
      <c r="D9" s="2" t="inlineStr">
        <is>
          <t>1 jour télétravail/semaine</t>
        </is>
      </c>
    </row>
    <row r="10">
      <c r="A10" s="2" t="inlineStr">
        <is>
          <t>Heures réelles / jour Naval Group</t>
        </is>
      </c>
      <c r="B10" s="2" t="n">
        <v>7</v>
      </c>
      <c r="C10" s="2" t="inlineStr">
        <is>
          <t>heures</t>
        </is>
      </c>
      <c r="D10" s="2" t="inlineStr">
        <is>
          <t>Paramètre</t>
        </is>
      </c>
    </row>
    <row r="11">
      <c r="A11" s="2" t="inlineStr">
        <is>
          <t>Heures réelles annuelles Naval Group</t>
        </is>
      </c>
      <c r="B11" s="2" t="n">
        <v>1164.8</v>
      </c>
      <c r="C11" s="2" t="inlineStr">
        <is>
          <t>heures</t>
        </is>
      </c>
      <c r="D11" s="2" t="inlineStr">
        <is>
          <t>Jours sur site × heures/jour</t>
        </is>
      </c>
    </row>
    <row r="12">
      <c r="A12" s="2" t="inlineStr">
        <is>
          <t>Heures annuelles à consacrer à agent IA</t>
        </is>
      </c>
      <c r="B12" s="2" t="n">
        <v>780.0843334414531</v>
      </c>
      <c r="C12" s="2" t="inlineStr">
        <is>
          <t>heures</t>
        </is>
      </c>
      <c r="D12" s="2" t="inlineStr">
        <is>
          <t>Charge moyenne annualisée du scénario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2026-09-06T10:38:43Z</dcterms:created>
  <dcterms:modified xmlns:dcterms="http://purl.org/dc/terms/" xmlns:xsi="http://www.w3.org/2001/XMLSchema-instance" xsi:type="dcterms:W3CDTF">2026-09-06T10:38:43Z</dcterms:modified>
</cp:coreProperties>
</file>