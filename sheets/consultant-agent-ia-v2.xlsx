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Résultats clés" sheetId="3" state="visible" r:id="rId3"/>
    <sheet xmlns:r="http://schemas.openxmlformats.org/officeDocument/2006/relationships" name="Hypothèses" sheetId="4" state="visible" r:id="rId4"/>
    <sheet xmlns:r="http://schemas.openxmlformats.org/officeDocument/2006/relationships" name="Temps &amp; capacité" sheetId="5" state="visible" r:id="rId5"/>
    <sheet xmlns:r="http://schemas.openxmlformats.org/officeDocument/2006/relationships" name="Unit economics" sheetId="6" state="visible" r:id="rId6"/>
    <sheet xmlns:r="http://schemas.openxmlformats.org/officeDocument/2006/relationships" name="MRR mensuel" sheetId="7" state="visible" r:id="rId7"/>
    <sheet xmlns:r="http://schemas.openxmlformats.org/officeDocument/2006/relationships" name="Synthèse annuelle" sheetId="8" state="visible" r:id="rId8"/>
    <sheet xmlns:r="http://schemas.openxmlformats.org/officeDocument/2006/relationships" name="Jalons" sheetId="9" state="visible" r:id="rId9"/>
    <sheet xmlns:r="http://schemas.openxmlformats.org/officeDocument/2006/relationships" name="Sensibilité" sheetId="10" state="visible" r:id="rId10"/>
    <sheet xmlns:r="http://schemas.openxmlformats.org/officeDocument/2006/relationships" name="Scénari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 &quot;€&quot;"/>
    <numFmt numFmtId="165" formatCode="0 %"/>
    <numFmt numFmtId="166" formatCode="#,##0.0"/>
    <numFmt numFmtId="167" formatCode="#,##0.0 &quot;h&quot;"/>
    <numFmt numFmtId="168" formatCode="#,##0 &quot;h&quot;"/>
    <numFmt numFmtId="169" formatCode="0.0 %"/>
    <numFmt numFmtId="170" formatCode="0.00 %"/>
    <numFmt numFmtId="171" formatCode="#,##0.00 &quot;€&quot;"/>
    <numFmt numFmtId="172" formatCode="mm/yy"/>
    <numFmt numFmtId="173" formatCode="mmmm yyyy"/>
    <numFmt numFmtId="174" formatCode="0.00 &quot;/sem&quot;"/>
  </numFmts>
  <fonts count="14">
    <font>
      <name val="Calibri"/>
      <family val="2"/>
      <color theme="1"/>
      <sz val="11"/>
      <scheme val="minor"/>
    </font>
    <font>
      <name val="Calibri"/>
      <b val="1"/>
      <color rgb="001D1D1F"/>
      <sz val="18"/>
    </font>
    <font>
      <name val="Calibri"/>
      <i val="1"/>
      <color rgb="006E6E73"/>
      <sz val="11"/>
    </font>
    <font>
      <name val="Calibri"/>
      <color rgb="001D1D1F"/>
      <sz val="11"/>
    </font>
    <font>
      <name val="Calibri"/>
      <b val="1"/>
      <color rgb="000071E3"/>
      <sz val="12"/>
    </font>
    <font>
      <name val="Calibri"/>
      <color rgb="006E6E73"/>
      <sz val="9"/>
    </font>
    <font>
      <name val="Calibri"/>
      <b val="1"/>
      <color rgb="00FFFFFF"/>
      <sz val="10"/>
    </font>
    <font>
      <name val="Calibri"/>
      <b val="1"/>
      <color rgb="001D1D1F"/>
      <sz val="11"/>
    </font>
    <font>
      <name val="Calibri"/>
      <b val="1"/>
      <color rgb="001D1D1F"/>
      <sz val="10"/>
    </font>
    <font>
      <name val="Calibri"/>
      <b val="1"/>
      <color rgb="0000B8A9"/>
      <sz val="10"/>
    </font>
    <font>
      <name val="Calibri"/>
      <b val="1"/>
      <color rgb="000071E3"/>
      <sz val="10"/>
    </font>
    <font>
      <name val="Calibri"/>
      <b val="1"/>
      <color rgb="000071E3"/>
      <sz val="11"/>
    </font>
    <font>
      <name val="Calibri"/>
      <b val="1"/>
      <color rgb="0034C759"/>
      <sz val="11"/>
    </font>
    <font>
      <name val="Calibri"/>
      <b val="1"/>
      <color rgb="0000B8A9"/>
      <sz val="11"/>
    </font>
  </fonts>
  <fills count="8">
    <fill>
      <patternFill/>
    </fill>
    <fill>
      <patternFill patternType="gray125"/>
    </fill>
    <fill>
      <patternFill patternType="solid">
        <fgColor rgb="000071E3"/>
      </patternFill>
    </fill>
    <fill>
      <patternFill patternType="solid">
        <fgColor rgb="00FFF8E7"/>
      </patternFill>
    </fill>
    <fill>
      <patternFill patternType="solid">
        <fgColor rgb="00FBFBFD"/>
      </patternFill>
    </fill>
    <fill>
      <patternFill patternType="solid">
        <fgColor rgb="00F5F5F7"/>
      </patternFill>
    </fill>
    <fill>
      <patternFill patternType="solid">
        <fgColor rgb="003D3D42"/>
      </patternFill>
    </fill>
    <fill>
      <patternFill patternType="solid">
        <fgColor rgb="00EEF6FF"/>
      </patternFill>
    </fill>
  </fills>
  <borders count="5">
    <border>
      <left/>
      <right/>
      <top/>
      <bottom/>
      <diagonal/>
    </border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  <border>
      <bottom style="thin">
        <color rgb="00D2D2D7"/>
      </bottom>
    </border>
    <border>
      <top style="medium">
        <color rgb="00B0B0B8"/>
      </top>
      <bottom style="thin">
        <color rgb="00D2D2D7"/>
      </bottom>
    </border>
    <border>
      <top style="medium">
        <color rgb="00B0B0B8"/>
      </top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0" borderId="2" pivotButton="0" quotePrefix="0" xfId="0"/>
    <xf numFmtId="164" fontId="7" fillId="3" borderId="2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4" fontId="7" fillId="3" borderId="2" applyAlignment="1" pivotButton="0" quotePrefix="0" xfId="0">
      <alignment horizontal="right"/>
    </xf>
    <xf numFmtId="4" fontId="5" fillId="0" borderId="2" applyAlignment="1" pivotButton="0" quotePrefix="0" xfId="0">
      <alignment horizontal="right"/>
    </xf>
    <xf numFmtId="165" fontId="7" fillId="3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7" fillId="3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7" fillId="3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0" fontId="5" fillId="0" borderId="0" pivotButton="0" quotePrefix="0" xfId="0"/>
    <xf numFmtId="164" fontId="7" fillId="7" borderId="1" applyAlignment="1" pivotButton="0" quotePrefix="0" xfId="0">
      <alignment horizontal="right"/>
    </xf>
    <xf numFmtId="171" fontId="7" fillId="7" borderId="1" applyAlignment="1" pivotButton="0" quotePrefix="0" xfId="0">
      <alignment horizontal="right"/>
    </xf>
    <xf numFmtId="166" fontId="7" fillId="7" borderId="1" applyAlignment="1" pivotButton="0" quotePrefix="0" xfId="0">
      <alignment horizontal="right"/>
    </xf>
    <xf numFmtId="168" fontId="7" fillId="7" borderId="1" applyAlignment="1" pivotButton="0" quotePrefix="0" xfId="0">
      <alignment horizontal="right"/>
    </xf>
    <xf numFmtId="167" fontId="7" fillId="7" borderId="1" applyAlignment="1" pivotButton="0" quotePrefix="0" xfId="0">
      <alignment horizontal="right"/>
    </xf>
    <xf numFmtId="4" fontId="7" fillId="7" borderId="1" applyAlignment="1" pivotButton="0" quotePrefix="0" xfId="0">
      <alignment horizontal="right"/>
    </xf>
    <xf numFmtId="169" fontId="7" fillId="7" borderId="1" applyAlignment="1" pivotButton="0" quotePrefix="0" xfId="0">
      <alignment horizontal="right"/>
    </xf>
    <xf numFmtId="0" fontId="6" fillId="2" borderId="1" applyAlignment="1" pivotButton="0" quotePrefix="0" xfId="0">
      <alignment horizontal="center"/>
    </xf>
    <xf numFmtId="166" fontId="7" fillId="0" borderId="2" applyAlignment="1" pivotButton="0" quotePrefix="0" xfId="0">
      <alignment horizontal="right"/>
    </xf>
    <xf numFmtId="4" fontId="7" fillId="0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  <xf numFmtId="167" fontId="7" fillId="0" borderId="2" applyAlignment="1" pivotButton="0" quotePrefix="0" xfId="0">
      <alignment horizontal="right"/>
    </xf>
    <xf numFmtId="168" fontId="7" fillId="0" borderId="2" applyAlignment="1" pivotButton="0" quotePrefix="0" xfId="0">
      <alignment horizontal="right"/>
    </xf>
    <xf numFmtId="169" fontId="7" fillId="0" borderId="2" applyAlignment="1" pivotButton="0" quotePrefix="0" xfId="0">
      <alignment horizontal="right"/>
    </xf>
    <xf numFmtId="170" fontId="7" fillId="0" borderId="2" applyAlignment="1" pivotButton="0" quotePrefix="0" xfId="0">
      <alignment horizontal="right"/>
    </xf>
    <xf numFmtId="3" fontId="7" fillId="0" borderId="2" applyAlignment="1" pivotButton="0" quotePrefix="0" xfId="0">
      <alignment horizontal="right"/>
    </xf>
    <xf numFmtId="171" fontId="7" fillId="0" borderId="2" applyAlignment="1" pivotButton="0" quotePrefix="0" xfId="0">
      <alignment horizontal="right"/>
    </xf>
    <xf numFmtId="0" fontId="3" fillId="0" borderId="0" pivotButton="0" quotePrefix="0" xfId="0"/>
    <xf numFmtId="168" fontId="7" fillId="0" borderId="0" applyAlignment="1" pivotButton="0" quotePrefix="0" xfId="0">
      <alignment horizontal="right"/>
    </xf>
    <xf numFmtId="168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72" fontId="8" fillId="0" borderId="2" applyAlignment="1" pivotButton="0" quotePrefix="0" xfId="0">
      <alignment horizontal="right"/>
    </xf>
    <xf numFmtId="4" fontId="0" fillId="0" borderId="2" applyAlignment="1" pivotButton="0" quotePrefix="0" xfId="0">
      <alignment horizontal="right"/>
    </xf>
    <xf numFmtId="166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172" fontId="8" fillId="4" borderId="2" applyAlignment="1" pivotButton="0" quotePrefix="0" xfId="0">
      <alignment horizontal="right"/>
    </xf>
    <xf numFmtId="4" fontId="0" fillId="4" borderId="2" applyAlignment="1" pivotButton="0" quotePrefix="0" xfId="0">
      <alignment horizontal="right"/>
    </xf>
    <xf numFmtId="166" fontId="0" fillId="4" borderId="2" applyAlignment="1" pivotButton="0" quotePrefix="0" xfId="0">
      <alignment horizontal="right"/>
    </xf>
    <xf numFmtId="164" fontId="0" fillId="4" borderId="2" applyAlignment="1" pivotButton="0" quotePrefix="0" xfId="0">
      <alignment horizontal="right"/>
    </xf>
    <xf numFmtId="164" fontId="9" fillId="4" borderId="2" applyAlignment="1" pivotButton="0" quotePrefix="0" xfId="0">
      <alignment horizontal="right"/>
    </xf>
    <xf numFmtId="164" fontId="1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172" fontId="8" fillId="5" borderId="3" applyAlignment="1" pivotButton="0" quotePrefix="0" xfId="0">
      <alignment horizontal="right"/>
    </xf>
    <xf numFmtId="4" fontId="8" fillId="5" borderId="3" applyAlignment="1" pivotButton="0" quotePrefix="0" xfId="0">
      <alignment horizontal="right"/>
    </xf>
    <xf numFmtId="166" fontId="8" fillId="5" borderId="3" applyAlignment="1" pivotButton="0" quotePrefix="0" xfId="0">
      <alignment horizontal="right"/>
    </xf>
    <xf numFmtId="164" fontId="8" fillId="5" borderId="3" applyAlignment="1" pivotButton="0" quotePrefix="0" xfId="0">
      <alignment horizontal="right"/>
    </xf>
    <xf numFmtId="165" fontId="8" fillId="5" borderId="3" applyAlignment="1" pivotButton="0" quotePrefix="0" xfId="0">
      <alignment horizontal="right"/>
    </xf>
    <xf numFmtId="3" fontId="0" fillId="0" borderId="2" applyAlignment="1" pivotButton="0" quotePrefix="0" xfId="0">
      <alignment horizontal="right"/>
    </xf>
    <xf numFmtId="164" fontId="11" fillId="0" borderId="2" applyAlignment="1" pivotButton="0" quotePrefix="0" xfId="0">
      <alignment horizontal="right"/>
    </xf>
    <xf numFmtId="164" fontId="12" fillId="0" borderId="2" applyAlignment="1" pivotButton="0" quotePrefix="0" xfId="0">
      <alignment horizontal="right"/>
    </xf>
    <xf numFmtId="168" fontId="0" fillId="0" borderId="2" applyAlignment="1" pivotButton="0" quotePrefix="0" xfId="0">
      <alignment horizontal="right"/>
    </xf>
    <xf numFmtId="171" fontId="0" fillId="0" borderId="2" applyAlignment="1" pivotButton="0" quotePrefix="0" xfId="0">
      <alignment horizontal="right"/>
    </xf>
    <xf numFmtId="3" fontId="7" fillId="4" borderId="2" applyAlignment="1" pivotButton="0" quotePrefix="0" xfId="0">
      <alignment horizontal="right"/>
    </xf>
    <xf numFmtId="3" fontId="0" fillId="4" borderId="2" applyAlignment="1" pivotButton="0" quotePrefix="0" xfId="0">
      <alignment horizontal="right"/>
    </xf>
    <xf numFmtId="164" fontId="11" fillId="4" borderId="2" applyAlignment="1" pivotButton="0" quotePrefix="0" xfId="0">
      <alignment horizontal="right"/>
    </xf>
    <xf numFmtId="164" fontId="12" fillId="4" borderId="2" applyAlignment="1" pivotButton="0" quotePrefix="0" xfId="0">
      <alignment horizontal="right"/>
    </xf>
    <xf numFmtId="168" fontId="0" fillId="4" borderId="2" applyAlignment="1" pivotButton="0" quotePrefix="0" xfId="0">
      <alignment horizontal="right"/>
    </xf>
    <xf numFmtId="171" fontId="0" fillId="4" borderId="2" applyAlignment="1" pivotButton="0" quotePrefix="0" xfId="0">
      <alignment horizontal="right"/>
    </xf>
    <xf numFmtId="3" fontId="7" fillId="5" borderId="4" applyAlignment="1" pivotButton="0" quotePrefix="0" xfId="0">
      <alignment horizontal="right"/>
    </xf>
    <xf numFmtId="164" fontId="7" fillId="5" borderId="4" applyAlignment="1" pivotButton="0" quotePrefix="0" xfId="0">
      <alignment horizontal="right"/>
    </xf>
    <xf numFmtId="165" fontId="7" fillId="5" borderId="4" applyAlignment="1" pivotButton="0" quotePrefix="0" xfId="0">
      <alignment horizontal="right"/>
    </xf>
    <xf numFmtId="166" fontId="7" fillId="5" borderId="4" applyAlignment="1" pivotButton="0" quotePrefix="0" xfId="0">
      <alignment horizontal="right"/>
    </xf>
    <xf numFmtId="168" fontId="7" fillId="5" borderId="4" applyAlignment="1" pivotButton="0" quotePrefix="0" xfId="0">
      <alignment horizontal="right"/>
    </xf>
    <xf numFmtId="171" fontId="7" fillId="5" borderId="4" applyAlignment="1" pivotButton="0" quotePrefix="0" xfId="0">
      <alignment horizontal="right"/>
    </xf>
    <xf numFmtId="173" fontId="7" fillId="0" borderId="2" applyAlignment="1" pivotButton="0" quotePrefix="0" xfId="0">
      <alignment horizontal="right"/>
    </xf>
    <xf numFmtId="0" fontId="7" fillId="0" borderId="2" applyAlignment="1" pivotButton="0" quotePrefix="0" xfId="0">
      <alignment horizontal="right"/>
    </xf>
    <xf numFmtId="0" fontId="6" fillId="6" borderId="0" pivotButton="0" quotePrefix="0" xfId="0"/>
    <xf numFmtId="165" fontId="6" fillId="2" borderId="0" applyAlignment="1" pivotButton="0" quotePrefix="0" xfId="0">
      <alignment horizontal="center"/>
    </xf>
    <xf numFmtId="174" fontId="7" fillId="5" borderId="0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7" fillId="5" borderId="0" applyAlignment="1" pivotButton="0" quotePrefix="0" xfId="0">
      <alignment horizontal="right"/>
    </xf>
    <xf numFmtId="0" fontId="7" fillId="0" borderId="2" pivotButton="0" quotePrefix="0" xfId="0"/>
    <xf numFmtId="4" fontId="0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164" fontId="13" fillId="0" borderId="2" pivotButton="0" quotePrefix="0" xfId="0"/>
    <xf numFmtId="164" fontId="0" fillId="0" borderId="2" pivotButton="0" quotePrefix="0" xfId="0"/>
    <xf numFmtId="4" fontId="0" fillId="5" borderId="2" applyAlignment="1" pivotButton="0" quotePrefix="0" xfId="0">
      <alignment horizontal="right"/>
    </xf>
    <xf numFmtId="165" fontId="0" fillId="5" borderId="2" applyAlignment="1" pivotButton="0" quotePrefix="0" xfId="0">
      <alignment horizontal="right"/>
    </xf>
    <xf numFmtId="164" fontId="0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Où passent les heures de l'année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'Temps &amp; capacité'!$B$35:$B$37</f>
            </numRef>
          </cat>
          <val>
            <numRef>
              <f>'Temps &amp; capacité'!$C$35:$C$37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Présence salariée contre production réelle (annuel)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071E3"/>
            </a:solidFill>
            <a:ln xmlns:a="http://schemas.openxmlformats.org/drawingml/2006/main">
              <a:prstDash val="solid"/>
            </a:ln>
          </spPr>
          <cat>
            <numRef>
              <f>'Temps &amp; capacité'!$B$39:$B$41</f>
            </numRef>
          </cat>
          <val>
            <numRef>
              <f>'Temps &amp; capacité'!$C$39:$C$41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 &quot;h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net d'impôt par heure travaillée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0B8A9"/>
            </a:solidFill>
            <a:ln xmlns:a="http://schemas.openxmlformats.org/drawingml/2006/main">
              <a:prstDash val="solid"/>
            </a:ln>
          </spPr>
          <cat>
            <numRef>
              <f>'Unit economics'!$B$36:$B$40</f>
            </numRef>
          </cat>
          <val>
            <numRef>
              <f>'Unit economics'!$C$36:$C$40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0 &quot;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et CA total mensuels</a:t>
            </a:r>
          </a:p>
        </rich>
      </tx>
    </title>
    <plotArea>
      <lineChart>
        <grouping val="standard"/>
        <ser>
          <idx val="0"/>
          <order val="0"/>
          <tx>
            <strRef>
              <f>'MRR mensuel'!F3</f>
            </strRef>
          </tx>
          <spPr>
            <a:ln xmlns:a="http://schemas.openxmlformats.org/drawingml/2006/main" w="28000">
              <a:solidFill>
                <a:srgbClr val="00B8A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'MRR mensuel'!$A$4:$A$40</f>
            </numRef>
          </cat>
          <val>
            <numRef>
              <f>'MRR mensuel'!$F$4:$F$40</f>
            </numRef>
          </val>
          <smooth val="0"/>
        </ser>
        <ser>
          <idx val="1"/>
          <order val="1"/>
          <tx>
            <strRef>
              <f>'MRR mensuel'!G3</f>
            </strRef>
          </tx>
          <spPr>
            <a:ln xmlns:a="http://schemas.openxmlformats.org/drawingml/2006/main">
              <a:solidFill>
                <a:srgbClr val="0071E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'MRR mensuel'!$A$4:$A$40</f>
            </numRef>
          </cat>
          <val>
            <numRef>
              <f>'MRR mensuel'!$G$4:$G$40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 par mois</a:t>
                </a:r>
              </a:p>
            </rich>
          </tx>
        </title>
        <numFmt formatCode="#,##0 &quot;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Clients actifs</a:t>
            </a:r>
          </a:p>
        </rich>
      </tx>
    </title>
    <plotArea>
      <lineChart>
        <grouping val="standard"/>
        <ser>
          <idx val="0"/>
          <order val="0"/>
          <tx>
            <strRef>
              <f>'MRR mensuel'!D3</f>
            </strRef>
          </tx>
          <spPr>
            <a:ln xmlns:a="http://schemas.openxmlformats.org/drawingml/2006/main" w="28000">
              <a:solidFill>
                <a:srgbClr val="5E5C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'MRR mensuel'!$A$4:$A$40</f>
            </numRef>
          </cat>
          <val>
            <numRef>
              <f>'MRR mensuel'!$D$4:$D$40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Composition du chiffre d'affaires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'MRR mensuel'!E3</f>
            </strRef>
          </tx>
          <spPr>
            <a:solidFill xmlns:a="http://schemas.openxmlformats.org/drawingml/2006/main">
              <a:srgbClr val="0071E3"/>
            </a:solidFill>
            <a:ln xmlns:a="http://schemas.openxmlformats.org/drawingml/2006/main">
              <a:prstDash val="solid"/>
            </a:ln>
          </spPr>
          <cat>
            <numRef>
              <f>'MRR mensuel'!$A$4:$A$40</f>
            </numRef>
          </cat>
          <val>
            <numRef>
              <f>'MRR mensuel'!$E$4:$E$40</f>
            </numRef>
          </val>
        </ser>
        <ser>
          <idx val="1"/>
          <order val="1"/>
          <tx>
            <strRef>
              <f>'MRR mensuel'!F3</f>
            </strRef>
          </tx>
          <spPr>
            <a:solidFill xmlns:a="http://schemas.openxmlformats.org/drawingml/2006/main">
              <a:srgbClr val="00B8A9"/>
            </a:solidFill>
            <a:ln xmlns:a="http://schemas.openxmlformats.org/drawingml/2006/main">
              <a:prstDash val="solid"/>
            </a:ln>
          </spPr>
          <cat>
            <numRef>
              <f>'MRR mensuel'!$A$4:$A$40</f>
            </numRef>
          </cat>
          <val>
            <numRef>
              <f>'MRR mensuel'!$F$4:$F$40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 &quot;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 total net et épargne cumulée</a:t>
            </a:r>
          </a:p>
        </rich>
      </tx>
    </title>
    <plotArea>
      <lineChart>
        <grouping val="standard"/>
        <ser>
          <idx val="0"/>
          <order val="0"/>
          <tx>
            <strRef>
              <f>'MRR mensuel'!L3</f>
            </strRef>
          </tx>
          <spPr>
            <a:ln xmlns:a="http://schemas.openxmlformats.org/drawingml/2006/main">
              <a:solidFill>
                <a:srgbClr val="0071E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'MRR mensuel'!$A$4:$A$40</f>
            </numRef>
          </cat>
          <val>
            <numRef>
              <f>'MRR mensuel'!$L$4:$L$40</f>
            </numRef>
          </val>
        </ser>
        <ser>
          <idx val="1"/>
          <order val="1"/>
          <tx>
            <strRef>
              <f>'MRR mensuel'!O3</f>
            </strRef>
          </tx>
          <spPr>
            <a:ln xmlns:a="http://schemas.openxmlformats.org/drawingml/2006/main">
              <a:solidFill>
                <a:srgbClr val="34C7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'MRR mensuel'!$A$4:$A$40</f>
            </numRef>
          </cat>
          <val>
            <numRef>
              <f>'MRR mensuel'!$O$4:$O$40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 &quot;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annuel : déploiement contre abonnements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'Synthèse annuelle'!C4</f>
            </strRef>
          </tx>
          <spPr>
            <a:solidFill xmlns:a="http://schemas.openxmlformats.org/drawingml/2006/main">
              <a:srgbClr val="0071E3"/>
            </a:solidFill>
            <a:ln xmlns:a="http://schemas.openxmlformats.org/drawingml/2006/main">
              <a:prstDash val="solid"/>
            </a:ln>
          </spPr>
          <cat>
            <numRef>
              <f>'Synthèse annuelle'!$A$5:$A$8</f>
            </numRef>
          </cat>
          <val>
            <numRef>
              <f>'Synthèse annuelle'!$C$5:$C$8</f>
            </numRef>
          </val>
        </ser>
        <ser>
          <idx val="1"/>
          <order val="1"/>
          <tx>
            <strRef>
              <f>'Synthèse annuelle'!D4</f>
            </strRef>
          </tx>
          <spPr>
            <a:solidFill xmlns:a="http://schemas.openxmlformats.org/drawingml/2006/main">
              <a:srgbClr val="00B8A9"/>
            </a:solidFill>
            <a:ln xmlns:a="http://schemas.openxmlformats.org/drawingml/2006/main">
              <a:prstDash val="solid"/>
            </a:ln>
          </spPr>
          <cat>
            <numRef>
              <f>'Synthèse annuelle'!$A$5:$A$8</f>
            </numRef>
          </cat>
          <val>
            <numRef>
              <f>'Synthèse annuelle'!$D$5:$D$8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 &quot;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 total net par exercice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'Synthèse annuelle'!H4</f>
            </strRef>
          </tx>
          <spPr>
            <a:solidFill xmlns:a="http://schemas.openxmlformats.org/drawingml/2006/main">
              <a:srgbClr val="8E8E93"/>
            </a:solidFill>
            <a:ln xmlns:a="http://schemas.openxmlformats.org/drawingml/2006/main">
              <a:prstDash val="solid"/>
            </a:ln>
          </spPr>
          <cat>
            <numRef>
              <f>'Synthèse annuelle'!$A$5:$A$8</f>
            </numRef>
          </cat>
          <val>
            <numRef>
              <f>'Synthèse annuelle'!$H$5:$H$8</f>
            </numRef>
          </val>
        </ser>
        <ser>
          <idx val="1"/>
          <order val="1"/>
          <tx>
            <strRef>
              <f>'Synthèse annuelle'!G4</f>
            </strRef>
          </tx>
          <spPr>
            <a:solidFill xmlns:a="http://schemas.openxmlformats.org/drawingml/2006/main">
              <a:srgbClr val="00B8A9"/>
            </a:solidFill>
            <a:ln xmlns:a="http://schemas.openxmlformats.org/drawingml/2006/main">
              <a:prstDash val="solid"/>
            </a:ln>
          </spPr>
          <cat>
            <numRef>
              <f>'Synthèse annuelle'!$A$5:$A$8</f>
            </numRef>
          </cat>
          <val>
            <numRef>
              <f>'Synthèse annuelle'!$G$5:$G$8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 &quot;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Épargne dégagée par exercice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'Synthèse annuelle'!K4</f>
            </strRef>
          </tx>
          <spPr>
            <a:solidFill xmlns:a="http://schemas.openxmlformats.org/drawingml/2006/main">
              <a:srgbClr val="34C759"/>
            </a:solidFill>
            <a:ln xmlns:a="http://schemas.openxmlformats.org/drawingml/2006/main">
              <a:prstDash val="solid"/>
            </a:ln>
          </spPr>
          <cat>
            <numRef>
              <f>'Synthèse annuelle'!$A$5:$A$8</f>
            </numRef>
          </cat>
          <val>
            <numRef>
              <f>'Synthèse annuelle'!$K$5:$K$8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 &quot;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net par heure travaillée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'Synthèse annuelle'!O4</f>
            </strRef>
          </tx>
          <spPr>
            <a:solidFill xmlns:a="http://schemas.openxmlformats.org/drawingml/2006/main">
              <a:srgbClr val="FF9F0A"/>
            </a:solidFill>
            <a:ln xmlns:a="http://schemas.openxmlformats.org/drawingml/2006/main">
              <a:prstDash val="solid"/>
            </a:ln>
          </spPr>
          <cat>
            <numRef>
              <f>'Synthèse annuelle'!$A$5:$A$8</f>
            </numRef>
          </cat>
          <val>
            <numRef>
              <f>'Synthèse annuelle'!$O$5:$O$8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0 &quot;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au 37ᵉ mois selon le scénario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'Scénarios'!H5</f>
            </strRef>
          </tx>
          <spPr>
            <a:solidFill xmlns:a="http://schemas.openxmlformats.org/drawingml/2006/main">
              <a:srgbClr val="00B8A9"/>
            </a:solidFill>
            <a:ln xmlns:a="http://schemas.openxmlformats.org/drawingml/2006/main">
              <a:prstDash val="solid"/>
            </a:ln>
          </spPr>
          <cat>
            <numRef>
              <f>'Scénarios'!$B$6:$B$10</f>
            </numRef>
          </cat>
          <val>
            <numRef>
              <f>'Scénarios'!$H$6:$H$10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 &quot;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consultant moyen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'Scénarios'!I5</f>
            </strRef>
          </tx>
          <spPr>
            <a:solidFill xmlns:a="http://schemas.openxmlformats.org/drawingml/2006/main">
              <a:srgbClr val="0071E3"/>
            </a:solidFill>
            <a:ln xmlns:a="http://schemas.openxmlformats.org/drawingml/2006/main">
              <a:prstDash val="solid"/>
            </a:ln>
          </spPr>
          <cat>
            <numRef>
              <f>'Scénarios'!$B$6:$B$10</f>
            </numRef>
          </cat>
          <val>
            <numRef>
              <f>'Scénarios'!$I$6:$I$10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 &quot;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18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36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35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19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21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38</row>
      <rowOff>0</rowOff>
    </from>
    <ext cx="79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19</col>
      <colOff>0</colOff>
      <row>55</row>
      <rowOff>0</rowOff>
    </from>
    <ext cx="79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11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30</row>
      <rowOff>0</rowOff>
    </from>
    <ext cx="72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13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D2D2D7"/>
    <outlinePr summaryBelow="1" summaryRight="1"/>
    <pageSetUpPr/>
  </sheetPr>
  <dimension ref="B2: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26" customHeight="1">
      <c r="B2" s="1" t="inlineStr">
        <is>
          <t>Consultant agent IA — étude de rentabilité v2</t>
        </is>
      </c>
    </row>
    <row r="3">
      <c r="B3" s="2" t="inlineStr">
        <is>
          <t>Déploiement d'agents IA + abonnement mensuel récurrent · projection 01/2027 → 01/2030</t>
        </is>
      </c>
    </row>
    <row r="4">
      <c r="B4" s="3" t="inlineStr"/>
    </row>
    <row r="5" ht="22" customHeight="1">
      <c r="B5" s="4" t="inlineStr">
        <is>
          <t>Comment utiliser ce classeur</t>
        </is>
      </c>
    </row>
    <row r="6">
      <c r="B6" s="3" t="inlineStr">
        <is>
          <t>1.  Ouvrez l'onglet « Paramètres ». C'est la seule feuille où vous saisissez des valeurs.</t>
        </is>
      </c>
    </row>
    <row r="7">
      <c r="B7" s="3" t="inlineStr">
        <is>
          <t>2.  Les cellules à fond crème de la colonne C sont modifiables. Tout le reste est calculé.</t>
        </is>
      </c>
    </row>
    <row r="8">
      <c r="B8" s="3" t="inlineStr">
        <is>
          <t>3.  Toutes les autres feuilles se recalculent automatiquement : hypothèses, MRR mensuel,</t>
        </is>
      </c>
    </row>
    <row r="9">
      <c r="B9" s="3" t="inlineStr">
        <is>
          <t xml:space="preserve">     synthèse annuelle, jalons, sensibilité, scénarios et graphiques.</t>
        </is>
      </c>
    </row>
    <row r="10">
      <c r="B10" s="3" t="inlineStr">
        <is>
          <t>4.  Aucune valeur n'est figée en dur ailleurs que dans « Paramètres ».</t>
        </is>
      </c>
    </row>
    <row r="11">
      <c r="B11" s="3" t="inlineStr"/>
    </row>
    <row r="12" ht="22" customHeight="1">
      <c r="B12" s="4" t="inlineStr">
        <is>
          <t>Le modèle en une phrase</t>
        </is>
      </c>
    </row>
    <row r="13">
      <c r="B13" s="3" t="inlineStr">
        <is>
          <t>Un diagnostic gratuit chaque semaine, converti une fois sur deux en déploiement d'agent IA</t>
        </is>
      </c>
    </row>
    <row r="14">
      <c r="B14" s="3" t="inlineStr">
        <is>
          <t>facturé 997 €, suivi d'un abonnement de 185 € par mois tant que l'agent reste en production.</t>
        </is>
      </c>
    </row>
    <row r="15">
      <c r="B15" s="3" t="inlineStr">
        <is>
          <t>Le diagnostic non converti est le coût du modèle : du temps, jamais d'argent.</t>
        </is>
      </c>
    </row>
    <row r="16">
      <c r="B16" s="3" t="inlineStr"/>
    </row>
    <row r="17" ht="22" customHeight="1">
      <c r="B17" s="4" t="inlineStr">
        <is>
          <t>Organisation des onglets</t>
        </is>
      </c>
    </row>
    <row r="18">
      <c r="B18" s="3" t="inlineStr">
        <is>
          <t xml:space="preserve">    •  Paramètres — les 22 variables d'entrée, groupées par thème</t>
        </is>
      </c>
    </row>
    <row r="19">
      <c r="B19" s="3" t="inlineStr">
        <is>
          <t xml:space="preserve">    •  Résultats clés — le tableau de bord : indicateurs de synthèse et graphiques principaux</t>
        </is>
      </c>
    </row>
    <row r="20">
      <c r="B20" s="3" t="inlineStr">
        <is>
          <t xml:space="preserve">    •  Hypothèses — l'entonnoir commercial et la charge horaire dérivés des paramètres</t>
        </is>
      </c>
    </row>
    <row r="21">
      <c r="B21" s="3" t="inlineStr">
        <is>
          <t xml:space="preserve">    •  Temps &amp; capacité — salariat, marge cognitive, charge réelle du business</t>
        </is>
      </c>
    </row>
    <row r="22">
      <c r="B22" s="3" t="inlineStr">
        <is>
          <t xml:space="preserve">    •  Unit economics — ce que vaut un client : €/h, LTV, rétention</t>
        </is>
      </c>
    </row>
    <row r="23">
      <c r="B23" s="3" t="inlineStr">
        <is>
          <t xml:space="preserve">    •  MRR mensuel — les 37 mois de projection, ligne à ligne, avec les graphiques associés</t>
        </is>
      </c>
    </row>
    <row r="24">
      <c r="B24" s="3" t="inlineStr">
        <is>
          <t xml:space="preserve">    •  Synthèse annuelle — les agrégats par exercice</t>
        </is>
      </c>
    </row>
    <row r="25">
      <c r="B25" s="3" t="inlineStr">
        <is>
          <t xml:space="preserve">    •  Jalons — la date de franchissement de chaque seuil</t>
        </is>
      </c>
    </row>
    <row r="26">
      <c r="B26" s="3" t="inlineStr">
        <is>
          <t xml:space="preserve">    •  Sensibilité — deux matrices : levier volume et levier prix</t>
        </is>
      </c>
    </row>
    <row r="27">
      <c r="B27" s="3" t="inlineStr">
        <is>
          <t xml:space="preserve">    •  Scénarios — cinq trajectoires, du pessimiste à l'agressif</t>
        </is>
      </c>
    </row>
    <row r="28">
      <c r="B28" s="3" t="inlineStr"/>
    </row>
    <row r="29" ht="22" customHeight="1">
      <c r="B29" s="4" t="inlineStr">
        <is>
          <t>Portée et limites</t>
        </is>
      </c>
    </row>
    <row r="30">
      <c r="B30" s="3" t="inlineStr">
        <is>
          <t>Projection déterministe, pas une prévision. La fiscalité est approchée par un taux global</t>
        </is>
      </c>
    </row>
    <row r="31">
      <c r="B31" s="3" t="inlineStr">
        <is>
          <t>unique (cotisations + impôt sur le revenu + frais d'API des agents). L'acquisition est</t>
        </is>
      </c>
    </row>
    <row r="32">
      <c r="B32" s="3" t="inlineStr">
        <is>
          <t>supposée linéaire et constante. Aucun coût fixe d'infrastructure n'est isolé.</t>
        </is>
      </c>
    </row>
    <row r="33">
      <c r="B33" s="3" t="inlineStr"/>
    </row>
    <row r="34">
      <c r="B34" s="5" t="inlineStr">
        <is>
          <t>Pour allonger l'horizon au-delà de 37 mois : recopier la dernière ligne de « MRR mensuel » vers le bas.</t>
        </is>
      </c>
    </row>
    <row r="35">
      <c r="B35" s="5" t="inlineStr">
        <is>
          <t>Version HTML interactive de la même étude : index.html du dépôt « consultant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F0A"/>
    <outlinePr summaryBelow="1" summaryRight="1"/>
    <pageSetUpPr/>
  </sheetPr>
  <dimension ref="B1:F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5" customWidth="1" min="3" max="3"/>
    <col width="11" customWidth="1" min="4" max="4"/>
    <col width="13" customWidth="1" min="5" max="5"/>
    <col width="74" customWidth="1" min="6" max="6"/>
  </cols>
  <sheetData>
    <row r="1"/>
    <row r="2">
      <c r="B2" s="6" t="inlineStr">
        <is>
          <t>Paramètres du modèle</t>
        </is>
      </c>
    </row>
    <row r="3">
      <c r="B3" s="7" t="inlineStr">
        <is>
          <t>Seules les cellules à fond crème sont à modifier. Tout le classeur se recalcule.</t>
        </is>
      </c>
    </row>
    <row r="5">
      <c r="B5" s="8" t="inlineStr">
        <is>
          <t>Offre &amp; tarification</t>
        </is>
      </c>
    </row>
    <row r="6" ht="18" customHeight="1">
      <c r="B6" s="9" t="inlineStr">
        <is>
          <t>Paramètre</t>
        </is>
      </c>
      <c r="C6" s="9" t="inlineStr">
        <is>
          <t>Valeur</t>
        </is>
      </c>
      <c r="D6" s="9" t="inlineStr">
        <is>
          <t>Unité</t>
        </is>
      </c>
      <c r="E6" s="9" t="inlineStr">
        <is>
          <t>Défaut</t>
        </is>
      </c>
      <c r="F6" s="9" t="inlineStr">
        <is>
          <t>Rôle dans le modèle</t>
        </is>
      </c>
    </row>
    <row r="7">
      <c r="B7" s="10" t="inlineStr">
        <is>
          <t>Prix abonnement mensuel (MRR par client)</t>
        </is>
      </c>
      <c r="C7" s="11" t="n">
        <v>185</v>
      </c>
      <c r="D7" s="12" t="inlineStr">
        <is>
          <t>€/mois</t>
        </is>
      </c>
      <c r="E7" s="13" t="n">
        <v>185</v>
      </c>
      <c r="F7" s="12" t="inlineStr">
        <is>
          <t>Facturé chaque mois tant que l'agent est en production.</t>
        </is>
      </c>
    </row>
    <row r="8">
      <c r="B8" s="10" t="inlineStr">
        <is>
          <t>Prix de la prestation de déploiement</t>
        </is>
      </c>
      <c r="C8" s="11" t="n">
        <v>997</v>
      </c>
      <c r="D8" s="12" t="inlineStr">
        <is>
          <t>€</t>
        </is>
      </c>
      <c r="E8" s="13" t="n">
        <v>997</v>
      </c>
      <c r="F8" s="12" t="inlineStr">
        <is>
          <t>Ticket d'entrée, facturé une seule fois après la semaine de test.</t>
        </is>
      </c>
    </row>
    <row r="9">
      <c r="B9" s="10" t="inlineStr">
        <is>
          <t>Jours de travail par déploiement</t>
        </is>
      </c>
      <c r="C9" s="14" t="n">
        <v>2</v>
      </c>
      <c r="D9" s="12" t="inlineStr">
        <is>
          <t>j</t>
        </is>
      </c>
      <c r="E9" s="15" t="n">
        <v>2</v>
      </c>
      <c r="F9" s="12" t="inlineStr">
        <is>
          <t>Temps d'implémentation d'un agent (ex. OCR devis vers base de données).</t>
        </is>
      </c>
    </row>
    <row r="11">
      <c r="B11" s="8" t="inlineStr">
        <is>
          <t>Acquisition commerciale</t>
        </is>
      </c>
    </row>
    <row r="12" ht="18" customHeight="1">
      <c r="B12" s="9" t="inlineStr">
        <is>
          <t>Paramètre</t>
        </is>
      </c>
      <c r="C12" s="9" t="inlineStr">
        <is>
          <t>Valeur</t>
        </is>
      </c>
      <c r="D12" s="9" t="inlineStr">
        <is>
          <t>Unité</t>
        </is>
      </c>
      <c r="E12" s="9" t="inlineStr">
        <is>
          <t>Défaut</t>
        </is>
      </c>
      <c r="F12" s="9" t="inlineStr">
        <is>
          <t>Rôle dans le modèle</t>
        </is>
      </c>
    </row>
    <row r="13">
      <c r="B13" s="10" t="inlineStr">
        <is>
          <t>Diagnostics gratuits par semaine</t>
        </is>
      </c>
      <c r="C13" s="14" t="n">
        <v>1</v>
      </c>
      <c r="D13" s="12" t="inlineStr">
        <is>
          <t>/sem</t>
        </is>
      </c>
      <c r="E13" s="15" t="n">
        <v>1</v>
      </c>
      <c r="F13" s="12" t="inlineStr">
        <is>
          <t>Offre d'appel. Le volume de diagnostics pilote tout l'entonnoir.</t>
        </is>
      </c>
    </row>
    <row r="14">
      <c r="B14" s="10" t="inlineStr">
        <is>
          <t>Durée d'un diagnostic</t>
        </is>
      </c>
      <c r="C14" s="14" t="n">
        <v>1</v>
      </c>
      <c r="D14" s="12" t="inlineStr">
        <is>
          <t>h</t>
        </is>
      </c>
      <c r="E14" s="15" t="n">
        <v>1</v>
      </c>
      <c r="F14" s="12" t="inlineStr">
        <is>
          <t>Temps consommé par diagnostic, converti ou non.</t>
        </is>
      </c>
    </row>
    <row r="15">
      <c r="B15" s="10" t="inlineStr">
        <is>
          <t>Taux de conversion diagnostic vers déploiement</t>
        </is>
      </c>
      <c r="C15" s="16" t="n">
        <v>0.5</v>
      </c>
      <c r="D15" s="12" t="inlineStr">
        <is>
          <t>%</t>
        </is>
      </c>
      <c r="E15" s="17" t="n">
        <v>0.5</v>
      </c>
      <c r="F15" s="12" t="inlineStr">
        <is>
          <t>Part des diagnostics qui débouchent sur un déploiement payé.</t>
        </is>
      </c>
    </row>
    <row r="16">
      <c r="B16" s="10" t="inlineStr">
        <is>
          <t>Jours de marketing / prospection par semaine</t>
        </is>
      </c>
      <c r="C16" s="14" t="n">
        <v>1</v>
      </c>
      <c r="D16" s="12" t="inlineStr">
        <is>
          <t>j/sem</t>
        </is>
      </c>
      <c r="E16" s="15" t="n">
        <v>1</v>
      </c>
      <c r="F16" s="12" t="inlineStr">
        <is>
          <t>Contenu, réseau, démarchage : le carburant des diagnostics.</t>
        </is>
      </c>
    </row>
    <row r="17">
      <c r="B17" s="10" t="inlineStr">
        <is>
          <t>Taux de rétention annuel des abonnements</t>
        </is>
      </c>
      <c r="C17" s="16" t="n">
        <v>0.85</v>
      </c>
      <c r="D17" s="12" t="inlineStr">
        <is>
          <t>%</t>
        </is>
      </c>
      <c r="E17" s="17" t="n">
        <v>0.85</v>
      </c>
      <c r="F17" s="12" t="inlineStr">
        <is>
          <t>Part des clients encore abonnés 12 mois plus tard.</t>
        </is>
      </c>
    </row>
    <row r="19">
      <c r="B19" s="8" t="inlineStr">
        <is>
          <t>Temps &amp; capacité</t>
        </is>
      </c>
    </row>
    <row r="20" ht="18" customHeight="1">
      <c r="B20" s="9" t="inlineStr">
        <is>
          <t>Paramètre</t>
        </is>
      </c>
      <c r="C20" s="9" t="inlineStr">
        <is>
          <t>Valeur</t>
        </is>
      </c>
      <c r="D20" s="9" t="inlineStr">
        <is>
          <t>Unité</t>
        </is>
      </c>
      <c r="E20" s="9" t="inlineStr">
        <is>
          <t>Défaut</t>
        </is>
      </c>
      <c r="F20" s="9" t="inlineStr">
        <is>
          <t>Rôle dans le modèle</t>
        </is>
      </c>
    </row>
    <row r="21">
      <c r="B21" s="10" t="inlineStr">
        <is>
          <t>Jours travaillés par an (base 5 j/semaine)</t>
        </is>
      </c>
      <c r="C21" s="18" t="n">
        <v>208</v>
      </c>
      <c r="D21" s="12" t="inlineStr">
        <is>
          <t>j/an</t>
        </is>
      </c>
      <c r="E21" s="19" t="n">
        <v>208</v>
      </c>
      <c r="F21" s="12" t="inlineStr">
        <is>
          <t>208 j = 41,6 semaines de 5 jours.</t>
        </is>
      </c>
    </row>
    <row r="22">
      <c r="B22" s="10" t="inlineStr">
        <is>
          <t>Heures de travail par jour</t>
        </is>
      </c>
      <c r="C22" s="20" t="n">
        <v>7</v>
      </c>
      <c r="D22" s="12" t="inlineStr">
        <is>
          <t>h/j</t>
        </is>
      </c>
      <c r="E22" s="21" t="n">
        <v>7</v>
      </c>
      <c r="F22" s="12" t="inlineStr">
        <is>
          <t>Base de conversion jours vers heures.</t>
        </is>
      </c>
    </row>
    <row r="23">
      <c r="B23" s="10" t="inlineStr">
        <is>
          <t>Heures/jour disponibles pour l'agent IA</t>
        </is>
      </c>
      <c r="C23" s="14" t="n">
        <v>3</v>
      </c>
      <c r="D23" s="12" t="inlineStr">
        <is>
          <t>h/j</t>
        </is>
      </c>
      <c r="E23" s="15" t="n">
        <v>3</v>
      </c>
      <c r="F23" s="12" t="inlineStr">
        <is>
          <t>Capacité réelle, hors salariat et vie personnelle.</t>
        </is>
      </c>
    </row>
    <row r="25">
      <c r="B25" s="8" t="inlineStr">
        <is>
          <t>Salariat Naval Group</t>
        </is>
      </c>
    </row>
    <row r="26" ht="18" customHeight="1">
      <c r="B26" s="9" t="inlineStr">
        <is>
          <t>Paramètre</t>
        </is>
      </c>
      <c r="C26" s="9" t="inlineStr">
        <is>
          <t>Valeur</t>
        </is>
      </c>
      <c r="D26" s="9" t="inlineStr">
        <is>
          <t>Unité</t>
        </is>
      </c>
      <c r="E26" s="9" t="inlineStr">
        <is>
          <t>Défaut</t>
        </is>
      </c>
      <c r="F26" s="9" t="inlineStr">
        <is>
          <t>Rôle dans le modèle</t>
        </is>
      </c>
    </row>
    <row r="27">
      <c r="B27" s="10" t="inlineStr">
        <is>
          <t>Salaire net mensuel (avant IR)</t>
        </is>
      </c>
      <c r="C27" s="11" t="n">
        <v>3400</v>
      </c>
      <c r="D27" s="12" t="inlineStr">
        <is>
          <t>€/mois</t>
        </is>
      </c>
      <c r="E27" s="13" t="n">
        <v>3400</v>
      </c>
      <c r="F27" s="12" t="inlineStr">
        <is>
          <t>Salaire net versé, avant prélèvement à la source.</t>
        </is>
      </c>
    </row>
    <row r="28">
      <c r="B28" s="10" t="inlineStr">
        <is>
          <t>Part du salaire conservée après IR</t>
        </is>
      </c>
      <c r="C28" s="16" t="n">
        <v>0.9</v>
      </c>
      <c r="D28" s="12" t="inlineStr">
        <is>
          <t>%</t>
        </is>
      </c>
      <c r="E28" s="17" t="n">
        <v>0.9</v>
      </c>
      <c r="F28" s="12" t="inlineStr">
        <is>
          <t>90 % correspond à 10 % de prélèvement à la source.</t>
        </is>
      </c>
    </row>
    <row r="29">
      <c r="B29" s="10" t="inlineStr">
        <is>
          <t>Jours travaillés par semaine (temps partiel)</t>
        </is>
      </c>
      <c r="C29" s="20" t="n">
        <v>4</v>
      </c>
      <c r="D29" s="12" t="inlineStr">
        <is>
          <t>j/sem</t>
        </is>
      </c>
      <c r="E29" s="21" t="n">
        <v>4</v>
      </c>
      <c r="F29" s="12" t="inlineStr">
        <is>
          <t>Contrat à temps partiel.</t>
        </is>
      </c>
    </row>
    <row r="30">
      <c r="B30" s="10" t="inlineStr">
        <is>
          <t>Heures de présence par jour</t>
        </is>
      </c>
      <c r="C30" s="20" t="n">
        <v>8</v>
      </c>
      <c r="D30" s="12" t="inlineStr">
        <is>
          <t>h/j</t>
        </is>
      </c>
      <c r="E30" s="21" t="n">
        <v>8</v>
      </c>
      <c r="F30" s="12" t="inlineStr">
        <is>
          <t>Temps de présence contractuel.</t>
        </is>
      </c>
    </row>
    <row r="31">
      <c r="B31" s="10" t="inlineStr">
        <is>
          <t>Heures de travail cérébral réel par jour</t>
        </is>
      </c>
      <c r="C31" s="14" t="n">
        <v>3</v>
      </c>
      <c r="D31" s="12" t="inlineStr">
        <is>
          <t>h/j</t>
        </is>
      </c>
      <c r="E31" s="15" t="n">
        <v>3</v>
      </c>
      <c r="F31" s="12" t="inlineStr">
        <is>
          <t>Production intellectuelle effective.</t>
        </is>
      </c>
    </row>
    <row r="32">
      <c r="B32" s="10" t="inlineStr">
        <is>
          <t>Semaines travaillées par an</t>
        </is>
      </c>
      <c r="C32" s="18" t="n">
        <v>44</v>
      </c>
      <c r="D32" s="12" t="inlineStr">
        <is>
          <t>sem/an</t>
        </is>
      </c>
      <c r="E32" s="19" t="n">
        <v>44</v>
      </c>
      <c r="F32" s="12" t="inlineStr">
        <is>
          <t>52 semaines moins congés et RTT.</t>
        </is>
      </c>
    </row>
    <row r="33">
      <c r="B33" s="10" t="inlineStr">
        <is>
          <t>Jours de télétravail par semaine</t>
        </is>
      </c>
      <c r="C33" s="20" t="n">
        <v>1</v>
      </c>
      <c r="D33" s="12" t="inlineStr">
        <is>
          <t>j/sem</t>
        </is>
      </c>
      <c r="E33" s="21" t="n">
        <v>1</v>
      </c>
      <c r="F33" s="12" t="inlineStr">
        <is>
          <t>Déduits des jours de présence sur site.</t>
        </is>
      </c>
    </row>
    <row r="35">
      <c r="B35" s="8" t="inlineStr">
        <is>
          <t>Fiscalité &amp; train de vie</t>
        </is>
      </c>
    </row>
    <row r="36" ht="18" customHeight="1">
      <c r="B36" s="9" t="inlineStr">
        <is>
          <t>Paramètre</t>
        </is>
      </c>
      <c r="C36" s="9" t="inlineStr">
        <is>
          <t>Valeur</t>
        </is>
      </c>
      <c r="D36" s="9" t="inlineStr">
        <is>
          <t>Unité</t>
        </is>
      </c>
      <c r="E36" s="9" t="inlineStr">
        <is>
          <t>Défaut</t>
        </is>
      </c>
      <c r="F36" s="9" t="inlineStr">
        <is>
          <t>Rôle dans le modèle</t>
        </is>
      </c>
    </row>
    <row r="37">
      <c r="B37" s="10" t="inlineStr">
        <is>
          <t>Part du CA consultant conservée (net IR)</t>
        </is>
      </c>
      <c r="C37" s="16" t="n">
        <v>0.5</v>
      </c>
      <c r="D37" s="12" t="inlineStr">
        <is>
          <t>%</t>
        </is>
      </c>
      <c r="E37" s="17" t="n">
        <v>0.5</v>
      </c>
      <c r="F37" s="12" t="inlineStr">
        <is>
          <t>Cotisations + impôt sur le revenu + frais d'API des agents IA.</t>
        </is>
      </c>
    </row>
    <row r="38">
      <c r="B38" s="10" t="inlineStr">
        <is>
          <t>Dépenses personnelles mensuelles</t>
        </is>
      </c>
      <c r="C38" s="11" t="n">
        <v>1800</v>
      </c>
      <c r="D38" s="12" t="inlineStr">
        <is>
          <t>€/mois</t>
        </is>
      </c>
      <c r="E38" s="13" t="n">
        <v>1800</v>
      </c>
      <c r="F38" s="12" t="inlineStr">
        <is>
          <t>Train de vie complet. Sert au calcul de l'épargne.</t>
        </is>
      </c>
    </row>
    <row r="40">
      <c r="B40" s="8" t="inlineStr">
        <is>
          <t>Horizon de projection</t>
        </is>
      </c>
    </row>
    <row r="41" ht="18" customHeight="1">
      <c r="B41" s="9" t="inlineStr">
        <is>
          <t>Paramètre</t>
        </is>
      </c>
      <c r="C41" s="9" t="inlineStr">
        <is>
          <t>Valeur</t>
        </is>
      </c>
      <c r="D41" s="9" t="inlineStr">
        <is>
          <t>Unité</t>
        </is>
      </c>
      <c r="E41" s="9" t="inlineStr">
        <is>
          <t>Défaut</t>
        </is>
      </c>
      <c r="F41" s="9" t="inlineStr">
        <is>
          <t>Rôle dans le modèle</t>
        </is>
      </c>
    </row>
    <row r="42">
      <c r="B42" s="10" t="inlineStr">
        <is>
          <t>Année du premier mois projeté</t>
        </is>
      </c>
      <c r="C42" s="18" t="n">
        <v>2027</v>
      </c>
      <c r="D42" s="12" t="inlineStr"/>
      <c r="E42" s="19" t="n">
        <v>2027</v>
      </c>
      <c r="F42" s="12" t="inlineStr">
        <is>
          <t>Le tableau MRR démarre à ce mois et couvre 37 mois.</t>
        </is>
      </c>
    </row>
    <row r="43">
      <c r="B43" s="10" t="inlineStr">
        <is>
          <t>Mois du premier mois projeté (1 = janvier)</t>
        </is>
      </c>
      <c r="C43" s="18" t="n">
        <v>1</v>
      </c>
      <c r="D43" s="12" t="inlineStr"/>
      <c r="E43" s="19" t="n">
        <v>1</v>
      </c>
      <c r="F43" s="12" t="inlineStr">
        <is>
          <t>1 pour janvier. Le tableau va jusqu'à 01/2030 avec les valeurs par défaut.</t>
        </is>
      </c>
    </row>
    <row r="45">
      <c r="B45" s="22" t="inlineStr">
        <is>
          <t>Colonne « Défaut » : valeur d'origine de l'étude, conservée pour référence.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1E3"/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7" customWidth="1" min="3" max="3"/>
    <col width="4" customWidth="1" min="4" max="4"/>
    <col width="46" customWidth="1" min="5" max="5"/>
    <col width="17" customWidth="1" min="6" max="6"/>
    <col width="3" customWidth="1" min="7" max="7"/>
    <col width="3" customWidth="1" min="8" max="8"/>
  </cols>
  <sheetData>
    <row r="2">
      <c r="B2" s="6" t="inlineStr">
        <is>
          <t>Résultats clés</t>
        </is>
      </c>
    </row>
    <row r="3">
      <c r="B3" s="7" t="inlineStr">
        <is>
          <t>Synthèse de l'étude. Toutes les valeurs découlent de la feuille Paramètres.</t>
        </is>
      </c>
    </row>
    <row r="5">
      <c r="B5" s="8" t="inlineStr">
        <is>
          <t>Sur l'horizon complet (37 mois)</t>
        </is>
      </c>
      <c r="E5" s="8" t="inlineStr">
        <is>
          <t>Valeur d'un client</t>
        </is>
      </c>
    </row>
    <row r="6">
      <c r="B6" s="10" t="inlineStr">
        <is>
          <t>MRR au dernier mois projeté</t>
        </is>
      </c>
      <c r="C6" s="23">
        <f>'MRR mensuel'!$F$40</f>
        <v/>
      </c>
      <c r="E6" s="10" t="inlineStr">
        <is>
          <t>Euros facturés par jour</t>
        </is>
      </c>
      <c r="F6" s="24">
        <f>'Unit economics'!$C$7</f>
        <v/>
      </c>
    </row>
    <row r="7">
      <c r="B7" s="10" t="inlineStr">
        <is>
          <t>ARR au dernier mois projeté</t>
        </is>
      </c>
      <c r="C7" s="23">
        <f>'MRR mensuel'!$F$40*12</f>
        <v/>
      </c>
      <c r="E7" s="10" t="inlineStr">
        <is>
          <t>Euros par heure facturée</t>
        </is>
      </c>
      <c r="F7" s="24">
        <f>'Unit economics'!$C$8</f>
        <v/>
      </c>
    </row>
    <row r="8">
      <c r="B8" s="10" t="inlineStr">
        <is>
          <t>Clients actifs au dernier mois</t>
        </is>
      </c>
      <c r="C8" s="25">
        <f>'MRR mensuel'!$D$40</f>
        <v/>
      </c>
      <c r="E8" s="10" t="inlineStr">
        <is>
          <t>Euros/h net IR (implémentation)</t>
        </is>
      </c>
      <c r="F8" s="24">
        <f>'Unit economics'!$C$9</f>
        <v/>
      </c>
    </row>
    <row r="9">
      <c r="B9" s="10" t="inlineStr">
        <is>
          <t>Revenu total net du dernier mois</t>
        </is>
      </c>
      <c r="C9" s="23">
        <f>'MRR mensuel'!$L$40</f>
        <v/>
      </c>
      <c r="E9" s="10" t="inlineStr">
        <is>
          <t>Revenu par client la première année</t>
        </is>
      </c>
      <c r="F9" s="23">
        <f>'Unit economics'!$C$25</f>
        <v/>
      </c>
    </row>
    <row r="10">
      <c r="B10" s="10" t="inlineStr">
        <is>
          <t>CA total cumulé</t>
        </is>
      </c>
      <c r="C10" s="23">
        <f>'MRR mensuel'!$N$40</f>
        <v/>
      </c>
      <c r="E10" s="10" t="inlineStr">
        <is>
          <t>Euros/h net IR la première année</t>
        </is>
      </c>
      <c r="F10" s="24">
        <f>'Unit economics'!$C$28</f>
        <v/>
      </c>
    </row>
    <row r="11">
      <c r="B11" s="10" t="inlineStr">
        <is>
          <t>Net consultant cumulé</t>
        </is>
      </c>
      <c r="C11" s="23">
        <f>'MRR mensuel'!$N$40*'Paramètres'!$C$37</f>
        <v/>
      </c>
      <c r="E11" s="10" t="inlineStr">
        <is>
          <t>LTV nette par client</t>
        </is>
      </c>
      <c r="F11" s="23">
        <f>'Unit economics'!$C$30</f>
        <v/>
      </c>
    </row>
    <row r="12">
      <c r="B12" s="10" t="inlineStr">
        <is>
          <t>Épargne cumulée</t>
        </is>
      </c>
      <c r="C12" s="23">
        <f>'MRR mensuel'!$O$40</f>
        <v/>
      </c>
      <c r="E12" s="10" t="inlineStr">
        <is>
          <t>Durée de vie d'un abonnement</t>
        </is>
      </c>
      <c r="F12" s="25">
        <f>'Hypothèses'!$C$35</f>
        <v/>
      </c>
    </row>
    <row r="14">
      <c r="B14" s="8" t="inlineStr">
        <is>
          <t>Charge de travail</t>
        </is>
      </c>
      <c r="E14" s="8" t="inlineStr">
        <is>
          <t>Deuxième année</t>
        </is>
      </c>
    </row>
    <row r="15">
      <c r="B15" s="10" t="inlineStr">
        <is>
          <t>Heures annuelles sur le business</t>
        </is>
      </c>
      <c r="C15" s="26">
        <f>'Hypothèses'!$C$20</f>
        <v/>
      </c>
      <c r="E15" s="10" t="inlineStr">
        <is>
          <t>Clients en fin d'exercice</t>
        </is>
      </c>
      <c r="F15" s="25">
        <f>'Synthèse annuelle'!$L$6</f>
        <v/>
      </c>
    </row>
    <row r="16">
      <c r="B16" s="10" t="inlineStr">
        <is>
          <t>Heures hebdomadaires</t>
        </is>
      </c>
      <c r="C16" s="27">
        <f>'Hypothèses'!$C$22</f>
        <v/>
      </c>
      <c r="E16" s="10" t="inlineStr">
        <is>
          <t>MRR généré sur l'année</t>
        </is>
      </c>
      <c r="F16" s="23">
        <f>'Synthèse annuelle'!$D$6</f>
        <v/>
      </c>
    </row>
    <row r="17">
      <c r="B17" s="10" t="inlineStr">
        <is>
          <t>Jours équivalents travaillés par semaine</t>
        </is>
      </c>
      <c r="C17" s="28">
        <f>'Hypothèses'!$C$23</f>
        <v/>
      </c>
      <c r="E17" s="10" t="inlineStr">
        <is>
          <t>MRR net d'IR</t>
        </is>
      </c>
      <c r="F17" s="23">
        <f>'Synthèse annuelle'!$D$6*'Paramètres'!$C$37</f>
        <v/>
      </c>
    </row>
    <row r="18">
      <c r="B18" s="10" t="inlineStr">
        <is>
          <t>Taux de charge (charge / capacité)</t>
        </is>
      </c>
      <c r="C18" s="29">
        <f>'Hypothèses'!$C$27</f>
        <v/>
      </c>
      <c r="E18" s="10" t="inlineStr">
        <is>
          <t>Net consultant mensuel moyen</t>
        </is>
      </c>
      <c r="F18" s="23">
        <f>'Synthèse annuelle'!$G$6/12</f>
        <v/>
      </c>
    </row>
    <row r="19">
      <c r="B19" s="10" t="inlineStr">
        <is>
          <t>Part du temps à prospecter</t>
        </is>
      </c>
      <c r="C19" s="29">
        <f>'Hypothèses'!$C$29</f>
        <v/>
      </c>
      <c r="E19" s="10" t="inlineStr">
        <is>
          <t>Revenu mensuel consultant + salariat</t>
        </is>
      </c>
      <c r="F19" s="23">
        <f>'Synthèse annuelle'!$I$6/12</f>
        <v/>
      </c>
    </row>
    <row r="20">
      <c r="B20" s="10" t="inlineStr">
        <is>
          <t>Charge combinée avec le salariat</t>
        </is>
      </c>
      <c r="C20" s="27">
        <f>'Temps &amp; capacité'!$C$31</f>
        <v/>
      </c>
      <c r="E20" s="10" t="inlineStr">
        <is>
          <t>Liquidités mensuelles après dépenses</t>
        </is>
      </c>
      <c r="F20" s="23">
        <f>'Synthèse annuelle'!$K$6/12</f>
        <v/>
      </c>
    </row>
    <row r="21">
      <c r="E21" s="10" t="inlineStr">
        <is>
          <t>Liquidités ajoutées sur l'année</t>
        </is>
      </c>
      <c r="F21" s="23">
        <f>'Synthèse annuelle'!$K$6</f>
        <v/>
      </c>
    </row>
    <row r="22">
      <c r="B22" s="8" t="inlineStr">
        <is>
          <t>Entonnoir annuel</t>
        </is>
      </c>
      <c r="E22" s="10" t="inlineStr">
        <is>
          <t>Euros/h équivalent agent IA</t>
        </is>
      </c>
      <c r="F22" s="24">
        <f>'Synthèse annuelle'!$O$6</f>
        <v/>
      </c>
    </row>
    <row r="23">
      <c r="B23" s="10" t="inlineStr">
        <is>
          <t>Diagnostics gratuits par an</t>
        </is>
      </c>
      <c r="C23" s="25">
        <f>'Hypothèses'!$C$8</f>
        <v/>
      </c>
    </row>
    <row r="24">
      <c r="B24" s="10" t="inlineStr">
        <is>
          <t>Automatisations vendues par semaine</t>
        </is>
      </c>
      <c r="C24" s="28">
        <f>'Hypothèses'!$C$10</f>
        <v/>
      </c>
      <c r="E24" s="8" t="inlineStr">
        <is>
          <t>Régime permanent</t>
        </is>
      </c>
    </row>
    <row r="25">
      <c r="B25" s="10" t="inlineStr">
        <is>
          <t>Automatisations vendues par an</t>
        </is>
      </c>
      <c r="C25" s="25">
        <f>'Hypothèses'!$C$9</f>
        <v/>
      </c>
      <c r="E25" s="10" t="inlineStr">
        <is>
          <t>Clients au plateau</t>
        </is>
      </c>
      <c r="F25" s="25">
        <f>'Hypothèses'!$C$36</f>
        <v/>
      </c>
    </row>
    <row r="26">
      <c r="B26" s="10" t="inlineStr">
        <is>
          <t>Nouveaux clients par mois</t>
        </is>
      </c>
      <c r="C26" s="28">
        <f>'Hypothèses'!$C$11</f>
        <v/>
      </c>
      <c r="E26" s="10" t="inlineStr">
        <is>
          <t>MRR au plateau</t>
        </is>
      </c>
      <c r="F26" s="23">
        <f>'Hypothèses'!$C$37</f>
        <v/>
      </c>
    </row>
    <row r="27">
      <c r="B27" s="10" t="inlineStr">
        <is>
          <t>CA de déploiement annuel</t>
        </is>
      </c>
      <c r="C27" s="23">
        <f>'Hypothèses'!$C$12</f>
        <v/>
      </c>
      <c r="E27" s="10" t="inlineStr">
        <is>
          <t>CA annuel au plateau</t>
        </is>
      </c>
      <c r="F27" s="23">
        <f>'Hypothèses'!$C$38</f>
        <v/>
      </c>
    </row>
    <row r="28">
      <c r="E28" s="10" t="inlineStr">
        <is>
          <t>Net IR annuel au plateau</t>
        </is>
      </c>
      <c r="F28" s="23">
        <f>'Hypothèses'!$C$39</f>
        <v/>
      </c>
    </row>
    <row r="29">
      <c r="E29" s="10" t="inlineStr">
        <is>
          <t>Euros/h net au plateau</t>
        </is>
      </c>
      <c r="F29" s="24">
        <f>'Hypothèses'!$C$39/'Hypothèses'!$C$20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2D2D7"/>
    <outlinePr summaryBelow="1" summaryRight="1"/>
    <pageSetUpPr/>
  </sheetPr>
  <dimension ref="B2:E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5" customWidth="1" min="3" max="3"/>
    <col width="11" customWidth="1" min="4" max="4"/>
    <col width="62" customWidth="1" min="5" max="5"/>
  </cols>
  <sheetData>
    <row r="2">
      <c r="B2" s="6" t="inlineStr">
        <is>
          <t>Hypothèses dérivées</t>
        </is>
      </c>
    </row>
    <row r="3">
      <c r="B3" s="7" t="inlineStr">
        <is>
          <t>Tout est calculé à partir de la feuille Paramètres. Aucune saisie ici.</t>
        </is>
      </c>
    </row>
    <row r="5">
      <c r="B5" s="8" t="inlineStr">
        <is>
          <t>Entonnoir commercial</t>
        </is>
      </c>
    </row>
    <row r="6">
      <c r="B6" s="30" t="inlineStr">
        <is>
          <t>Indicateur</t>
        </is>
      </c>
      <c r="C6" s="30" t="inlineStr">
        <is>
          <t>Valeur</t>
        </is>
      </c>
      <c r="D6" s="30" t="inlineStr">
        <is>
          <t>Unité</t>
        </is>
      </c>
      <c r="E6" s="30" t="inlineStr">
        <is>
          <t>Formule</t>
        </is>
      </c>
    </row>
    <row r="7">
      <c r="B7" s="10" t="inlineStr">
        <is>
          <t>Semaines travaillées par an</t>
        </is>
      </c>
      <c r="C7" s="31">
        <f>'Paramètres'!$C$21/5</f>
        <v/>
      </c>
      <c r="D7" s="12" t="inlineStr">
        <is>
          <t>sem</t>
        </is>
      </c>
      <c r="E7" s="12" t="inlineStr">
        <is>
          <t>jours_travaillés / 5</t>
        </is>
      </c>
    </row>
    <row r="8">
      <c r="B8" s="10" t="inlineStr">
        <is>
          <t>Diagnostics gratuits par an</t>
        </is>
      </c>
      <c r="C8" s="31">
        <f>'Paramètres'!$C$13*'Hypothèses'!$C$7</f>
        <v/>
      </c>
      <c r="D8" s="12" t="inlineStr">
        <is>
          <t>/an</t>
        </is>
      </c>
      <c r="E8" s="12" t="inlineStr">
        <is>
          <t>diagnostics_semaine × semaines</t>
        </is>
      </c>
    </row>
    <row r="9">
      <c r="B9" s="10" t="inlineStr">
        <is>
          <t>Automatisations vendues par an</t>
        </is>
      </c>
      <c r="C9" s="31">
        <f>'Hypothèses'!$C$8*'Paramètres'!$C$15</f>
        <v/>
      </c>
      <c r="D9" s="12" t="inlineStr">
        <is>
          <t>/an</t>
        </is>
      </c>
      <c r="E9" s="12" t="inlineStr">
        <is>
          <t>diagnostics_an × taux_conversion</t>
        </is>
      </c>
    </row>
    <row r="10">
      <c r="B10" s="10" t="inlineStr">
        <is>
          <t>Automatisations vendues par semaine</t>
        </is>
      </c>
      <c r="C10" s="32">
        <f>'Paramètres'!$C$13*'Paramètres'!$C$15</f>
        <v/>
      </c>
      <c r="D10" s="12" t="inlineStr">
        <is>
          <t>/sem</t>
        </is>
      </c>
      <c r="E10" s="12" t="inlineStr">
        <is>
          <t>diagnostics_semaine × taux_conversion</t>
        </is>
      </c>
    </row>
    <row r="11">
      <c r="B11" s="10" t="inlineStr">
        <is>
          <t>Nouveaux clients par mois</t>
        </is>
      </c>
      <c r="C11" s="32">
        <f>'Hypothèses'!$C$9/12</f>
        <v/>
      </c>
      <c r="D11" s="12" t="inlineStr">
        <is>
          <t>/mois</t>
        </is>
      </c>
      <c r="E11" s="12" t="inlineStr">
        <is>
          <t>clients_an / 12</t>
        </is>
      </c>
    </row>
    <row r="12">
      <c r="B12" s="10" t="inlineStr">
        <is>
          <t>CA de déploiement annuel</t>
        </is>
      </c>
      <c r="C12" s="33">
        <f>'Hypothèses'!$C$9*'Paramètres'!$C$8</f>
        <v/>
      </c>
      <c r="D12" s="12" t="inlineStr">
        <is>
          <t>€/an</t>
        </is>
      </c>
      <c r="E12" s="12" t="inlineStr">
        <is>
          <t>clients_an × prix_déploiement</t>
        </is>
      </c>
    </row>
    <row r="14">
      <c r="B14" s="8" t="inlineStr">
        <is>
          <t>Charge horaire de l'activité</t>
        </is>
      </c>
    </row>
    <row r="15">
      <c r="B15" s="30" t="inlineStr">
        <is>
          <t>Indicateur</t>
        </is>
      </c>
      <c r="C15" s="30" t="inlineStr">
        <is>
          <t>Valeur</t>
        </is>
      </c>
      <c r="D15" s="30" t="inlineStr">
        <is>
          <t>Unité</t>
        </is>
      </c>
      <c r="E15" s="30" t="inlineStr">
        <is>
          <t>Formule</t>
        </is>
      </c>
    </row>
    <row r="16">
      <c r="B16" s="10" t="inlineStr">
        <is>
          <t>Heures par automatisation</t>
        </is>
      </c>
      <c r="C16" s="34">
        <f>'Paramètres'!$C$9*'Paramètres'!$C$22</f>
        <v/>
      </c>
      <c r="D16" s="12" t="inlineStr">
        <is>
          <t>h</t>
        </is>
      </c>
      <c r="E16" s="12" t="inlineStr">
        <is>
          <t>jours_déploiement × heures_par_jour</t>
        </is>
      </c>
    </row>
    <row r="17">
      <c r="B17" s="10" t="inlineStr">
        <is>
          <t>Heures de diagnostic par an</t>
        </is>
      </c>
      <c r="C17" s="35">
        <f>'Hypothèses'!$C$8*'Paramètres'!$C$14</f>
        <v/>
      </c>
      <c r="D17" s="12" t="inlineStr">
        <is>
          <t>h/an</t>
        </is>
      </c>
      <c r="E17" s="12" t="inlineStr">
        <is>
          <t>diagnostics_an × durée_diagnostic</t>
        </is>
      </c>
    </row>
    <row r="18">
      <c r="B18" s="10" t="inlineStr">
        <is>
          <t>Heures de déploiement par an</t>
        </is>
      </c>
      <c r="C18" s="35">
        <f>'Hypothèses'!$C$9*'Hypothèses'!$C$16</f>
        <v/>
      </c>
      <c r="D18" s="12" t="inlineStr">
        <is>
          <t>h/an</t>
        </is>
      </c>
      <c r="E18" s="12" t="inlineStr">
        <is>
          <t>clients_an × heures_par_automatisation</t>
        </is>
      </c>
    </row>
    <row r="19">
      <c r="B19" s="10" t="inlineStr">
        <is>
          <t>Heures de marketing par an</t>
        </is>
      </c>
      <c r="C19" s="35">
        <f>'Paramètres'!$C$16*'Hypothèses'!$C$7*'Paramètres'!$C$22</f>
        <v/>
      </c>
      <c r="D19" s="12" t="inlineStr">
        <is>
          <t>h/an</t>
        </is>
      </c>
      <c r="E19" s="12" t="inlineStr">
        <is>
          <t>jours_marketing × semaines × heures_par_jour</t>
        </is>
      </c>
    </row>
    <row r="20">
      <c r="B20" s="10" t="inlineStr">
        <is>
          <t>Heures totales par an</t>
        </is>
      </c>
      <c r="C20" s="35">
        <f>'Hypothèses'!$C$17+'Hypothèses'!$C$18+'Hypothèses'!$C$19</f>
        <v/>
      </c>
      <c r="D20" s="12" t="inlineStr">
        <is>
          <t>h/an</t>
        </is>
      </c>
      <c r="E20" s="12" t="inlineStr">
        <is>
          <t>diagnostic + déploiement + marketing</t>
        </is>
      </c>
    </row>
    <row r="21">
      <c r="B21" s="10" t="inlineStr">
        <is>
          <t>Heures hors marketing par an</t>
        </is>
      </c>
      <c r="C21" s="35">
        <f>'Hypothèses'!$C$17+'Hypothèses'!$C$18</f>
        <v/>
      </c>
      <c r="D21" s="12" t="inlineStr">
        <is>
          <t>h/an</t>
        </is>
      </c>
      <c r="E21" s="12" t="inlineStr">
        <is>
          <t>diagnostic + déploiement</t>
        </is>
      </c>
    </row>
    <row r="22">
      <c r="B22" s="10" t="inlineStr">
        <is>
          <t>Heures hebdomadaires sur le business</t>
        </is>
      </c>
      <c r="C22" s="34">
        <f>'Hypothèses'!$C$20/'Hypothèses'!$C$7</f>
        <v/>
      </c>
      <c r="D22" s="12" t="inlineStr">
        <is>
          <t>h/sem</t>
        </is>
      </c>
      <c r="E22" s="12" t="inlineStr">
        <is>
          <t>heures_total / semaines</t>
        </is>
      </c>
    </row>
    <row r="23">
      <c r="B23" s="10" t="inlineStr">
        <is>
          <t>Jours équivalents travaillés par semaine</t>
        </is>
      </c>
      <c r="C23" s="32">
        <f>'Hypothèses'!$C$22/'Paramètres'!$C$22</f>
        <v/>
      </c>
      <c r="D23" s="12" t="inlineStr">
        <is>
          <t>j/sem</t>
        </is>
      </c>
      <c r="E23" s="12" t="inlineStr">
        <is>
          <t>heures_hebdo / heures_par_jour</t>
        </is>
      </c>
    </row>
    <row r="24">
      <c r="B24" s="10" t="inlineStr">
        <is>
          <t>Jours équivalents travaillés par an</t>
        </is>
      </c>
      <c r="C24" s="31">
        <f>'Hypothèses'!$C$20/'Paramètres'!$C$22</f>
        <v/>
      </c>
      <c r="D24" s="12" t="inlineStr">
        <is>
          <t>j/an</t>
        </is>
      </c>
      <c r="E24" s="12" t="inlineStr">
        <is>
          <t>heures_total_an / heures_par_jour</t>
        </is>
      </c>
    </row>
    <row r="25">
      <c r="B25" s="10" t="inlineStr">
        <is>
          <t>Capacité annuelle déclarée</t>
        </is>
      </c>
      <c r="C25" s="35">
        <f>'Paramètres'!$C$21*'Paramètres'!$C$23</f>
        <v/>
      </c>
      <c r="D25" s="12" t="inlineStr">
        <is>
          <t>h/an</t>
        </is>
      </c>
      <c r="E25" s="12" t="inlineStr">
        <is>
          <t>jours_travaillés × heures_dispo_par_jour</t>
        </is>
      </c>
    </row>
    <row r="26">
      <c r="B26" s="10" t="inlineStr">
        <is>
          <t>Heures disponibles théoriques (plein temps)</t>
        </is>
      </c>
      <c r="C26" s="35">
        <f>'Paramètres'!$C$21*'Paramètres'!$C$22</f>
        <v/>
      </c>
      <c r="D26" s="12" t="inlineStr">
        <is>
          <t>h/an</t>
        </is>
      </c>
      <c r="E26" s="12" t="inlineStr">
        <is>
          <t>jours_travaillés × heures_par_jour</t>
        </is>
      </c>
    </row>
    <row r="27">
      <c r="B27" s="10" t="inlineStr">
        <is>
          <t>Taux de charge (charge / capacité)</t>
        </is>
      </c>
      <c r="C27" s="36">
        <f>'Hypothèses'!$C$20/'Hypothèses'!$C$25</f>
        <v/>
      </c>
      <c r="D27" s="12" t="inlineStr">
        <is>
          <t>%</t>
        </is>
      </c>
      <c r="E27" s="12" t="inlineStr">
        <is>
          <t>100 % = capacité exactement saturée</t>
        </is>
      </c>
    </row>
    <row r="28">
      <c r="B28" s="10" t="inlineStr">
        <is>
          <t>Heures réellement nécessaires par jour</t>
        </is>
      </c>
      <c r="C28" s="32">
        <f>'Hypothèses'!$C$20/'Paramètres'!$C$21</f>
        <v/>
      </c>
      <c r="D28" s="12" t="inlineStr">
        <is>
          <t>h/j</t>
        </is>
      </c>
      <c r="E28" s="12" t="inlineStr">
        <is>
          <t>heures_total_an / jours_travaillés</t>
        </is>
      </c>
    </row>
    <row r="29">
      <c r="B29" s="10" t="inlineStr">
        <is>
          <t>Part du temps à prospecter, pas à implémenter</t>
        </is>
      </c>
      <c r="C29" s="36">
        <f>('Hypothèses'!$C$17+'Hypothèses'!$C$19)/'Hypothèses'!$C$20</f>
        <v/>
      </c>
      <c r="D29" s="12" t="inlineStr">
        <is>
          <t>%</t>
        </is>
      </c>
      <c r="E29" s="12" t="inlineStr">
        <is>
          <t>(diagnostic + marketing) / total</t>
        </is>
      </c>
    </row>
    <row r="31">
      <c r="B31" s="8" t="inlineStr">
        <is>
          <t>Rétention et récurrence</t>
        </is>
      </c>
    </row>
    <row r="32">
      <c r="B32" s="30" t="inlineStr">
        <is>
          <t>Indicateur</t>
        </is>
      </c>
      <c r="C32" s="30" t="inlineStr">
        <is>
          <t>Valeur</t>
        </is>
      </c>
      <c r="D32" s="30" t="inlineStr">
        <is>
          <t>Unité</t>
        </is>
      </c>
      <c r="E32" s="30" t="inlineStr">
        <is>
          <t>Formule</t>
        </is>
      </c>
    </row>
    <row r="33">
      <c r="B33" s="10" t="inlineStr">
        <is>
          <t>Churn mensuel équivalent</t>
        </is>
      </c>
      <c r="C33" s="37">
        <f>1-'Paramètres'!$C$17^(1/12)</f>
        <v/>
      </c>
      <c r="D33" s="12" t="inlineStr">
        <is>
          <t>%/mois</t>
        </is>
      </c>
      <c r="E33" s="12" t="inlineStr">
        <is>
          <t>1 − rétention_annuelle^(1/12)</t>
        </is>
      </c>
    </row>
    <row r="34">
      <c r="B34" s="10" t="inlineStr">
        <is>
          <t>Survie mensuelle</t>
        </is>
      </c>
      <c r="C34" s="37">
        <f>1-'Hypothèses'!$C$33</f>
        <v/>
      </c>
      <c r="D34" s="12" t="inlineStr">
        <is>
          <t>%</t>
        </is>
      </c>
      <c r="E34" s="12" t="inlineStr">
        <is>
          <t>1 − churn_mensuel</t>
        </is>
      </c>
    </row>
    <row r="35">
      <c r="B35" s="10" t="inlineStr">
        <is>
          <t>Durée de vie moyenne d'un abonnement</t>
        </is>
      </c>
      <c r="C35" s="31">
        <f>1/'Hypothèses'!$C$33</f>
        <v/>
      </c>
      <c r="D35" s="12" t="inlineStr">
        <is>
          <t>mois</t>
        </is>
      </c>
      <c r="E35" s="12" t="inlineStr">
        <is>
          <t>1 / churn_mensuel</t>
        </is>
      </c>
    </row>
    <row r="36">
      <c r="B36" s="10" t="inlineStr">
        <is>
          <t>Clients au plateau (entrées = churn)</t>
        </is>
      </c>
      <c r="C36" s="31">
        <f>'Hypothèses'!$C$11/'Hypothèses'!$C$33</f>
        <v/>
      </c>
      <c r="D36" s="12" t="inlineStr">
        <is>
          <t>clients</t>
        </is>
      </c>
      <c r="E36" s="12" t="inlineStr">
        <is>
          <t>nouveaux_mois / churn_mensuel</t>
        </is>
      </c>
    </row>
    <row r="37">
      <c r="B37" s="10" t="inlineStr">
        <is>
          <t>MRR au plateau</t>
        </is>
      </c>
      <c r="C37" s="33">
        <f>'Hypothèses'!$C$36*'Paramètres'!$C$7</f>
        <v/>
      </c>
      <c r="D37" s="12" t="inlineStr">
        <is>
          <t>€/mois</t>
        </is>
      </c>
      <c r="E37" s="12" t="inlineStr">
        <is>
          <t>clients_plateau × prix_abonnement</t>
        </is>
      </c>
    </row>
    <row r="38">
      <c r="B38" s="10" t="inlineStr">
        <is>
          <t>CA annuel au plateau</t>
        </is>
      </c>
      <c r="C38" s="33">
        <f>'Hypothèses'!$C$37*12+'Hypothèses'!$C$12</f>
        <v/>
      </c>
      <c r="D38" s="12" t="inlineStr">
        <is>
          <t>€/an</t>
        </is>
      </c>
      <c r="E38" s="12" t="inlineStr">
        <is>
          <t>MRR_plateau × 12 + CA_déploiement_an</t>
        </is>
      </c>
    </row>
    <row r="39">
      <c r="B39" s="10" t="inlineStr">
        <is>
          <t>Net IR annuel au plateau</t>
        </is>
      </c>
      <c r="C39" s="33">
        <f>'Hypothèses'!$C$38*'Paramètres'!$C$37</f>
        <v/>
      </c>
      <c r="D39" s="12" t="inlineStr">
        <is>
          <t>€/an</t>
        </is>
      </c>
      <c r="E39" s="12" t="inlineStr">
        <is>
          <t>CA_plateau × taux_net_IR</t>
        </is>
      </c>
    </row>
    <row r="41">
      <c r="B41" s="8" t="inlineStr">
        <is>
          <t>Salariat</t>
        </is>
      </c>
    </row>
    <row r="42">
      <c r="B42" s="30" t="inlineStr">
        <is>
          <t>Indicateur</t>
        </is>
      </c>
      <c r="C42" s="30" t="inlineStr">
        <is>
          <t>Valeur</t>
        </is>
      </c>
      <c r="D42" s="30" t="inlineStr">
        <is>
          <t>Unité</t>
        </is>
      </c>
      <c r="E42" s="30" t="inlineStr">
        <is>
          <t>Formule</t>
        </is>
      </c>
    </row>
    <row r="43">
      <c r="B43" s="10" t="inlineStr">
        <is>
          <t>Salaire mensuel net d'IR</t>
        </is>
      </c>
      <c r="C43" s="33">
        <f>'Paramètres'!$C$27*'Paramètres'!$C$28</f>
        <v/>
      </c>
      <c r="D43" s="12" t="inlineStr">
        <is>
          <t>€/mois</t>
        </is>
      </c>
      <c r="E43" s="12" t="inlineStr">
        <is>
          <t>salaire × taux_net_IR_salaire</t>
        </is>
      </c>
    </row>
    <row r="44">
      <c r="B44" s="10" t="inlineStr">
        <is>
          <t>Salaire annuel net d'IR</t>
        </is>
      </c>
      <c r="C44" s="33">
        <f>'Hypothèses'!$C$43*12</f>
        <v/>
      </c>
      <c r="D44" s="12" t="inlineStr">
        <is>
          <t>€/an</t>
        </is>
      </c>
      <c r="E44" s="12" t="inlineStr">
        <is>
          <t>salaire_net_mensuel × 12</t>
        </is>
      </c>
    </row>
    <row r="45">
      <c r="B45" s="10" t="inlineStr">
        <is>
          <t>Salaire annuel net avant IR</t>
        </is>
      </c>
      <c r="C45" s="33">
        <f>'Paramètres'!$C$27*12</f>
        <v/>
      </c>
      <c r="D45" s="12" t="inlineStr">
        <is>
          <t>€/an</t>
        </is>
      </c>
      <c r="E45" s="12" t="inlineStr">
        <is>
          <t>salaire × 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2D2D7"/>
    <outlinePr summaryBelow="1" summaryRight="1"/>
    <pageSetUpPr/>
  </sheetPr>
  <dimension ref="B2:E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5" customWidth="1" min="3" max="3"/>
    <col width="11" customWidth="1" min="4" max="4"/>
    <col width="58" customWidth="1" min="5" max="5"/>
  </cols>
  <sheetData>
    <row r="2">
      <c r="B2" s="6" t="inlineStr">
        <is>
          <t>Temps &amp; capacité</t>
        </is>
      </c>
    </row>
    <row r="3">
      <c r="B3" s="7" t="inlineStr">
        <is>
          <t>Le modèle tient-il physiquement, à côté du salariat ?</t>
        </is>
      </c>
    </row>
    <row r="5">
      <c r="B5" s="8" t="inlineStr">
        <is>
          <t>Socle salarié</t>
        </is>
      </c>
    </row>
    <row r="6">
      <c r="B6" s="30" t="inlineStr">
        <is>
          <t>Indicateur</t>
        </is>
      </c>
      <c r="C6" s="30" t="inlineStr">
        <is>
          <t>Valeur</t>
        </is>
      </c>
      <c r="D6" s="30" t="inlineStr">
        <is>
          <t>Unité</t>
        </is>
      </c>
      <c r="E6" s="30" t="inlineStr">
        <is>
          <t>Formule</t>
        </is>
      </c>
    </row>
    <row r="7">
      <c r="B7" s="10" t="inlineStr">
        <is>
          <t>Heures hebdomadaires de temps de présence</t>
        </is>
      </c>
      <c r="C7" s="34">
        <f>'Paramètres'!$C$29*'Paramètres'!$C$30</f>
        <v/>
      </c>
      <c r="D7" s="12" t="inlineStr">
        <is>
          <t>h/sem</t>
        </is>
      </c>
      <c r="E7" s="12" t="inlineStr">
        <is>
          <t>jours_semaine × heures_présence_jour</t>
        </is>
      </c>
    </row>
    <row r="8">
      <c r="B8" s="10" t="inlineStr">
        <is>
          <t>Heures hebdomadaires de travail cérébral</t>
        </is>
      </c>
      <c r="C8" s="34">
        <f>'Paramètres'!$C$29*'Paramètres'!$C$31</f>
        <v/>
      </c>
      <c r="D8" s="12" t="inlineStr">
        <is>
          <t>h/sem</t>
        </is>
      </c>
      <c r="E8" s="12" t="inlineStr">
        <is>
          <t>jours_semaine × heures_cérébral_jour</t>
        </is>
      </c>
    </row>
    <row r="9">
      <c r="B9" s="10" t="inlineStr">
        <is>
          <t>Heures annuelles de présence</t>
        </is>
      </c>
      <c r="C9" s="35">
        <f>'Temps &amp; capacité'!$C$7*'Paramètres'!$C$32</f>
        <v/>
      </c>
      <c r="D9" s="12" t="inlineStr">
        <is>
          <t>h/an</t>
        </is>
      </c>
      <c r="E9" s="12" t="inlineStr">
        <is>
          <t>heures_présence_hebdo × semaines</t>
        </is>
      </c>
    </row>
    <row r="10">
      <c r="B10" s="10" t="inlineStr">
        <is>
          <t>Heures annuelles de travail cérébral</t>
        </is>
      </c>
      <c r="C10" s="35">
        <f>'Temps &amp; capacité'!$C$8*'Paramètres'!$C$32</f>
        <v/>
      </c>
      <c r="D10" s="12" t="inlineStr">
        <is>
          <t>h/an</t>
        </is>
      </c>
      <c r="E10" s="12" t="inlineStr">
        <is>
          <t>heures_cérébral_hebdo × semaines</t>
        </is>
      </c>
    </row>
    <row r="11">
      <c r="B11" s="10" t="inlineStr">
        <is>
          <t>Jours annuels travaillés à temps partiel</t>
        </is>
      </c>
      <c r="C11" s="38">
        <f>'Paramètres'!$C$29*'Paramètres'!$C$32</f>
        <v/>
      </c>
      <c r="D11" s="12" t="inlineStr">
        <is>
          <t>j/an</t>
        </is>
      </c>
      <c r="E11" s="12" t="inlineStr">
        <is>
          <t>jours_semaine × semaines</t>
        </is>
      </c>
    </row>
    <row r="12">
      <c r="B12" s="10" t="inlineStr">
        <is>
          <t>Jours sur site par an (hors télétravail)</t>
        </is>
      </c>
      <c r="C12" s="38">
        <f>('Paramètres'!$C$29-'Paramètres'!$C$33)*'Paramètres'!$C$32</f>
        <v/>
      </c>
      <c r="D12" s="12" t="inlineStr">
        <is>
          <t>j/an</t>
        </is>
      </c>
      <c r="E12" s="12" t="inlineStr">
        <is>
          <t>(jours_semaine − télétravail) × semaines</t>
        </is>
      </c>
    </row>
    <row r="13">
      <c r="B13" s="10" t="inlineStr">
        <is>
          <t>Heures de travail réel par jour de présence</t>
        </is>
      </c>
      <c r="C13" s="32">
        <f>'Paramètres'!$C$31</f>
        <v/>
      </c>
      <c r="D13" s="12" t="inlineStr">
        <is>
          <t>h/j</t>
        </is>
      </c>
      <c r="E13" s="12" t="inlineStr">
        <is>
          <t>paramètre direct</t>
        </is>
      </c>
    </row>
    <row r="14">
      <c r="B14" s="10" t="inlineStr">
        <is>
          <t>Intensité : travail réel / présence</t>
        </is>
      </c>
      <c r="C14" s="36">
        <f>'Temps &amp; capacité'!$C$10/'Temps &amp; capacité'!$C$9</f>
        <v/>
      </c>
      <c r="D14" s="12" t="inlineStr">
        <is>
          <t>%</t>
        </is>
      </c>
      <c r="E14" s="12" t="inlineStr">
        <is>
          <t>heures_cérébral / heures_présence</t>
        </is>
      </c>
    </row>
    <row r="15">
      <c r="B15" s="10" t="inlineStr">
        <is>
          <t>Marge cognitive annuelle disponible</t>
        </is>
      </c>
      <c r="C15" s="35">
        <f>'Temps &amp; capacité'!$C$9-'Temps &amp; capacité'!$C$10</f>
        <v/>
      </c>
      <c r="D15" s="12" t="inlineStr">
        <is>
          <t>h/an</t>
        </is>
      </c>
      <c r="E15" s="12" t="inlineStr">
        <is>
          <t>présence − travail cérébral</t>
        </is>
      </c>
    </row>
    <row r="16">
      <c r="B16" s="10" t="inlineStr">
        <is>
          <t>Net IR par heure de présence</t>
        </is>
      </c>
      <c r="C16" s="39">
        <f>'Hypothèses'!$C$44/'Temps &amp; capacité'!$C$9</f>
        <v/>
      </c>
      <c r="D16" s="12" t="inlineStr">
        <is>
          <t>€/h</t>
        </is>
      </c>
      <c r="E16" s="12" t="inlineStr">
        <is>
          <t>salaire_net_annuel / heures_présence</t>
        </is>
      </c>
    </row>
    <row r="17">
      <c r="B17" s="10" t="inlineStr">
        <is>
          <t>Net IR par heure de travail réel</t>
        </is>
      </c>
      <c r="C17" s="39">
        <f>'Hypothèses'!$C$44/'Temps &amp; capacité'!$C$10</f>
        <v/>
      </c>
      <c r="D17" s="12" t="inlineStr">
        <is>
          <t>€/h</t>
        </is>
      </c>
      <c r="E17" s="12" t="inlineStr">
        <is>
          <t>salaire_net_annuel / heures_cérébral</t>
        </is>
      </c>
    </row>
    <row r="19">
      <c r="B19" s="8" t="inlineStr">
        <is>
          <t>Capacité consultant</t>
        </is>
      </c>
    </row>
    <row r="20">
      <c r="B20" s="30" t="inlineStr">
        <is>
          <t>Indicateur</t>
        </is>
      </c>
      <c r="C20" s="30" t="inlineStr">
        <is>
          <t>Valeur</t>
        </is>
      </c>
      <c r="D20" s="30" t="inlineStr">
        <is>
          <t>Unité</t>
        </is>
      </c>
      <c r="E20" s="30" t="inlineStr">
        <is>
          <t>Formule</t>
        </is>
      </c>
    </row>
    <row r="21">
      <c r="B21" s="10" t="inlineStr">
        <is>
          <t>Jours travaillés par an</t>
        </is>
      </c>
      <c r="C21" s="38">
        <f>'Paramètres'!$C$21</f>
        <v/>
      </c>
      <c r="D21" s="12" t="inlineStr">
        <is>
          <t>j/an</t>
        </is>
      </c>
      <c r="E21" s="12" t="inlineStr">
        <is>
          <t>paramètre</t>
        </is>
      </c>
    </row>
    <row r="22">
      <c r="B22" s="10" t="inlineStr">
        <is>
          <t>Semaines travaillées par an</t>
        </is>
      </c>
      <c r="C22" s="31">
        <f>'Hypothèses'!$C$7</f>
        <v/>
      </c>
      <c r="D22" s="12" t="inlineStr">
        <is>
          <t>sem</t>
        </is>
      </c>
      <c r="E22" s="12" t="inlineStr">
        <is>
          <t>jours_travaillés / 5</t>
        </is>
      </c>
    </row>
    <row r="23">
      <c r="B23" s="10" t="inlineStr">
        <is>
          <t>Heures disponibles de travail sur l'année</t>
        </is>
      </c>
      <c r="C23" s="35">
        <f>'Hypothèses'!$C$26</f>
        <v/>
      </c>
      <c r="D23" s="12" t="inlineStr">
        <is>
          <t>h/an</t>
        </is>
      </c>
      <c r="E23" s="12" t="inlineStr">
        <is>
          <t>jours × heures_par_jour</t>
        </is>
      </c>
    </row>
    <row r="24">
      <c r="B24" s="10" t="inlineStr">
        <is>
          <t>Heures réellement nécessaires par jour</t>
        </is>
      </c>
      <c r="C24" s="32">
        <f>'Hypothèses'!$C$28</f>
        <v/>
      </c>
      <c r="D24" s="12" t="inlineStr">
        <is>
          <t>h/j</t>
        </is>
      </c>
      <c r="E24" s="12" t="inlineStr">
        <is>
          <t>charge / jours_travaillés</t>
        </is>
      </c>
    </row>
    <row r="25">
      <c r="B25" s="10" t="inlineStr">
        <is>
          <t>Heures annuelles consacrées à l'agent IA</t>
        </is>
      </c>
      <c r="C25" s="35">
        <f>'Hypothèses'!$C$20</f>
        <v/>
      </c>
      <c r="D25" s="12" t="inlineStr">
        <is>
          <t>h/an</t>
        </is>
      </c>
      <c r="E25" s="12" t="inlineStr">
        <is>
          <t>diagnostic + déploiement + marketing</t>
        </is>
      </c>
    </row>
    <row r="26">
      <c r="B26" s="10" t="inlineStr">
        <is>
          <t>Heures hebdomadaires sur le business</t>
        </is>
      </c>
      <c r="C26" s="34">
        <f>'Hypothèses'!$C$22</f>
        <v/>
      </c>
      <c r="D26" s="12" t="inlineStr">
        <is>
          <t>h/sem</t>
        </is>
      </c>
      <c r="E26" s="12" t="inlineStr">
        <is>
          <t>charge annuelle / semaines</t>
        </is>
      </c>
    </row>
    <row r="27">
      <c r="B27" s="10" t="inlineStr">
        <is>
          <t>Jours équivalents travaillés par semaine</t>
        </is>
      </c>
      <c r="C27" s="32">
        <f>'Hypothèses'!$C$23</f>
        <v/>
      </c>
      <c r="D27" s="12" t="inlineStr">
        <is>
          <t>j/sem</t>
        </is>
      </c>
      <c r="E27" s="12" t="inlineStr">
        <is>
          <t>heures_hebdo / heures_par_jour</t>
        </is>
      </c>
    </row>
    <row r="28">
      <c r="B28" s="10" t="inlineStr">
        <is>
          <t>Heures réellement travaillées hors marketing</t>
        </is>
      </c>
      <c r="C28" s="35">
        <f>'Hypothèses'!$C$21</f>
        <v/>
      </c>
      <c r="D28" s="12" t="inlineStr">
        <is>
          <t>h/an</t>
        </is>
      </c>
      <c r="E28" s="12" t="inlineStr">
        <is>
          <t>diagnostic + déploiement</t>
        </is>
      </c>
    </row>
    <row r="29">
      <c r="B29" s="10" t="inlineStr">
        <is>
          <t>Part du temps à prospecter, pas à implémenter</t>
        </is>
      </c>
      <c r="C29" s="36">
        <f>'Hypothèses'!$C$29</f>
        <v/>
      </c>
      <c r="D29" s="12" t="inlineStr">
        <is>
          <t>%</t>
        </is>
      </c>
      <c r="E29" s="12" t="inlineStr">
        <is>
          <t>(diagnostic + marketing) / total</t>
        </is>
      </c>
    </row>
    <row r="30">
      <c r="B30" s="10" t="inlineStr">
        <is>
          <t>Taux de charge (charge / capacité déclarée)</t>
        </is>
      </c>
      <c r="C30" s="36">
        <f>'Hypothèses'!$C$27</f>
        <v/>
      </c>
      <c r="D30" s="12" t="inlineStr">
        <is>
          <t>%</t>
        </is>
      </c>
      <c r="E30" s="12" t="inlineStr">
        <is>
          <t>100 % = capacité saturée</t>
        </is>
      </c>
    </row>
    <row r="31">
      <c r="B31" s="10" t="inlineStr">
        <is>
          <t>Charge combinée salariat + business, par semaine</t>
        </is>
      </c>
      <c r="C31" s="34">
        <f>'Temps &amp; capacité'!$C$7+'Hypothèses'!$C$22</f>
        <v/>
      </c>
      <c r="D31" s="12" t="inlineStr">
        <is>
          <t>h/sem</t>
        </is>
      </c>
      <c r="E31" s="12" t="inlineStr">
        <is>
          <t>présence salariée + business</t>
        </is>
      </c>
    </row>
    <row r="32">
      <c r="B32" s="10" t="inlineStr">
        <is>
          <t>Charge combinée annuelle</t>
        </is>
      </c>
      <c r="C32" s="35">
        <f>'Temps &amp; capacité'!$C$9+'Hypothèses'!$C$20</f>
        <v/>
      </c>
      <c r="D32" s="12" t="inlineStr">
        <is>
          <t>h/an</t>
        </is>
      </c>
      <c r="E32" s="12" t="inlineStr">
        <is>
          <t>présence annuelle + charge annuelle</t>
        </is>
      </c>
    </row>
    <row r="34">
      <c r="B34" s="8" t="inlineStr">
        <is>
          <t>Répartition annuelle des heures</t>
        </is>
      </c>
    </row>
    <row r="35">
      <c r="B35" s="40" t="inlineStr">
        <is>
          <t>Déploiements</t>
        </is>
      </c>
      <c r="C35" s="41">
        <f>'Hypothèses'!$C$18</f>
        <v/>
      </c>
    </row>
    <row r="36">
      <c r="B36" s="40" t="inlineStr">
        <is>
          <t>Marketing / prospection</t>
        </is>
      </c>
      <c r="C36" s="41">
        <f>'Hypothèses'!$C$19</f>
        <v/>
      </c>
    </row>
    <row r="37">
      <c r="B37" s="40" t="inlineStr">
        <is>
          <t>Diagnostics gratuits</t>
        </is>
      </c>
      <c r="C37" s="41">
        <f>'Hypothèses'!$C$17</f>
        <v/>
      </c>
    </row>
    <row r="39">
      <c r="B39" s="40" t="inlineStr">
        <is>
          <t>Présence annuelle</t>
        </is>
      </c>
      <c r="C39" s="42">
        <f>'Temps &amp; capacité'!$C$9</f>
        <v/>
      </c>
    </row>
    <row r="40">
      <c r="B40" s="40" t="inlineStr">
        <is>
          <t>Travail cérébral</t>
        </is>
      </c>
      <c r="C40" s="42">
        <f>'Temps &amp; capacité'!$C$10</f>
        <v/>
      </c>
    </row>
    <row r="41">
      <c r="B41" s="40" t="inlineStr">
        <is>
          <t>Business consultant</t>
        </is>
      </c>
      <c r="C41" s="42">
        <f>'Hypothèses'!$C$20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D2D2D7"/>
    <outlinePr summaryBelow="1" summaryRight="1"/>
    <pageSetUpPr/>
  </sheetPr>
  <dimension ref="B2:E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4" customWidth="1" min="2" max="2"/>
    <col width="15" customWidth="1" min="3" max="3"/>
    <col width="11" customWidth="1" min="4" max="4"/>
    <col width="56" customWidth="1" min="5" max="5"/>
  </cols>
  <sheetData>
    <row r="2">
      <c r="B2" s="6" t="inlineStr">
        <is>
          <t>Unit economics</t>
        </is>
      </c>
    </row>
    <row r="3">
      <c r="B3" s="7" t="inlineStr">
        <is>
          <t>Ce que rapporte un client, heure par heure.</t>
        </is>
      </c>
    </row>
    <row r="5">
      <c r="B5" s="8" t="inlineStr">
        <is>
          <t>Tarification et rendement horaire</t>
        </is>
      </c>
    </row>
    <row r="6">
      <c r="B6" s="30" t="inlineStr">
        <is>
          <t>Indicateur</t>
        </is>
      </c>
      <c r="C6" s="30" t="inlineStr">
        <is>
          <t>Valeur</t>
        </is>
      </c>
      <c r="D6" s="30" t="inlineStr">
        <is>
          <t>Unité</t>
        </is>
      </c>
      <c r="E6" s="30" t="inlineStr">
        <is>
          <t>Formule</t>
        </is>
      </c>
    </row>
    <row r="7">
      <c r="B7" s="10" t="inlineStr">
        <is>
          <t>Euros facturés par jour en tant que consultant</t>
        </is>
      </c>
      <c r="C7" s="39">
        <f>'Paramètres'!$C$8/'Paramètres'!$C$9</f>
        <v/>
      </c>
      <c r="D7" s="12" t="inlineStr">
        <is>
          <t>€/j</t>
        </is>
      </c>
      <c r="E7" s="12" t="inlineStr">
        <is>
          <t>prix_déploiement / jours_déploiement</t>
        </is>
      </c>
    </row>
    <row r="8">
      <c r="B8" s="10" t="inlineStr">
        <is>
          <t>Euros par heure facturée en tant que consultant</t>
        </is>
      </c>
      <c r="C8" s="39">
        <f>'Paramètres'!$C$8/'Hypothèses'!$C$16</f>
        <v/>
      </c>
      <c r="D8" s="12" t="inlineStr">
        <is>
          <t>€/h</t>
        </is>
      </c>
      <c r="E8" s="12" t="inlineStr">
        <is>
          <t>prix_déploiement / heures_par_automatisation</t>
        </is>
      </c>
    </row>
    <row r="9">
      <c r="B9" s="10" t="inlineStr">
        <is>
          <t>Euros/h net IR travaillés en tant que consultant IA</t>
        </is>
      </c>
      <c r="C9" s="39">
        <f>'Unit economics'!$C$8*'Paramètres'!$C$37</f>
        <v/>
      </c>
      <c r="D9" s="12" t="inlineStr">
        <is>
          <t>€/h</t>
        </is>
      </c>
      <c r="E9" s="12" t="inlineStr">
        <is>
          <t>CA_horaire × taux_net_IR</t>
        </is>
      </c>
    </row>
    <row r="10">
      <c r="B10" s="10" t="inlineStr">
        <is>
          <t>Euros/jour net IR</t>
        </is>
      </c>
      <c r="C10" s="39">
        <f>'Unit economics'!$C$7*'Paramètres'!$C$37</f>
        <v/>
      </c>
      <c r="D10" s="12" t="inlineStr">
        <is>
          <t>€/j</t>
        </is>
      </c>
      <c r="E10" s="12" t="inlineStr">
        <is>
          <t>CA_journalier × taux_net_IR</t>
        </is>
      </c>
    </row>
    <row r="12">
      <c r="B12" s="8" t="inlineStr">
        <is>
          <t>Par automatisation vendue</t>
        </is>
      </c>
    </row>
    <row r="13">
      <c r="B13" s="30" t="inlineStr">
        <is>
          <t>Indicateur</t>
        </is>
      </c>
      <c r="C13" s="30" t="inlineStr">
        <is>
          <t>Valeur</t>
        </is>
      </c>
      <c r="D13" s="30" t="inlineStr">
        <is>
          <t>Unité</t>
        </is>
      </c>
      <c r="E13" s="30" t="inlineStr">
        <is>
          <t>Formule</t>
        </is>
      </c>
    </row>
    <row r="14">
      <c r="B14" s="10" t="inlineStr">
        <is>
          <t>Euros par automatisation de base</t>
        </is>
      </c>
      <c r="C14" s="33">
        <f>'Paramètres'!$C$8</f>
        <v/>
      </c>
      <c r="D14" s="12" t="inlineStr">
        <is>
          <t>€</t>
        </is>
      </c>
      <c r="E14" s="12" t="inlineStr">
        <is>
          <t>paramètre</t>
        </is>
      </c>
    </row>
    <row r="15">
      <c r="B15" s="10" t="inlineStr">
        <is>
          <t>Heures travaillées par automatisation de base</t>
        </is>
      </c>
      <c r="C15" s="34">
        <f>'Hypothèses'!$C$16</f>
        <v/>
      </c>
      <c r="D15" s="12" t="inlineStr">
        <is>
          <t>h</t>
        </is>
      </c>
      <c r="E15" s="12" t="inlineStr">
        <is>
          <t>jours_déploiement × heures_par_jour</t>
        </is>
      </c>
    </row>
    <row r="16">
      <c r="B16" s="10" t="inlineStr">
        <is>
          <t>Heures de prospection amorties par vente</t>
        </is>
      </c>
      <c r="C16" s="31">
        <f>'Paramètres'!$C$14/'Paramètres'!$C$15</f>
        <v/>
      </c>
      <c r="D16" s="12" t="inlineStr">
        <is>
          <t>h</t>
        </is>
      </c>
      <c r="E16" s="12" t="inlineStr">
        <is>
          <t>durée_diagnostic / taux_conversion</t>
        </is>
      </c>
    </row>
    <row r="17">
      <c r="B17" s="10" t="inlineStr">
        <is>
          <t>Heures totales investies par client</t>
        </is>
      </c>
      <c r="C17" s="31">
        <f>'Hypothèses'!$C$20/'Hypothèses'!$C$9</f>
        <v/>
      </c>
      <c r="D17" s="12" t="inlineStr">
        <is>
          <t>h</t>
        </is>
      </c>
      <c r="E17" s="12" t="inlineStr">
        <is>
          <t>heures_annuelles / clients_annuels</t>
        </is>
      </c>
    </row>
    <row r="18">
      <c r="B18" s="10" t="inlineStr">
        <is>
          <t>Euros de MRR mensuel par automatisation</t>
        </is>
      </c>
      <c r="C18" s="33">
        <f>'Paramètres'!$C$7</f>
        <v/>
      </c>
      <c r="D18" s="12" t="inlineStr">
        <is>
          <t>€/mois</t>
        </is>
      </c>
      <c r="E18" s="12" t="inlineStr">
        <is>
          <t>paramètre</t>
        </is>
      </c>
    </row>
    <row r="20">
      <c r="B20" s="8" t="inlineStr">
        <is>
          <t>Valeur du client</t>
        </is>
      </c>
    </row>
    <row r="21">
      <c r="B21" s="30" t="inlineStr">
        <is>
          <t>Indicateur</t>
        </is>
      </c>
      <c r="C21" s="30" t="inlineStr">
        <is>
          <t>Valeur</t>
        </is>
      </c>
      <c r="D21" s="30" t="inlineStr">
        <is>
          <t>Unité</t>
        </is>
      </c>
      <c r="E21" s="30" t="inlineStr">
        <is>
          <t>Formule</t>
        </is>
      </c>
    </row>
    <row r="22">
      <c r="B22" s="10" t="inlineStr">
        <is>
          <t>Euros de MRR annuel par client</t>
        </is>
      </c>
      <c r="C22" s="33">
        <f>'Paramètres'!$C$7*12</f>
        <v/>
      </c>
      <c r="D22" s="12" t="inlineStr">
        <is>
          <t>€/an</t>
        </is>
      </c>
      <c r="E22" s="12" t="inlineStr">
        <is>
          <t>prix_abonnement × 12</t>
        </is>
      </c>
    </row>
    <row r="23">
      <c r="B23" s="10" t="inlineStr">
        <is>
          <t>Mois réellement payés sur 12 (avec churn)</t>
        </is>
      </c>
      <c r="C23" s="31">
        <f>'Hypothèses'!$C$34*(1-'Hypothèses'!$C$34^12)/'Hypothèses'!$C$33</f>
        <v/>
      </c>
      <c r="D23" s="12" t="inlineStr">
        <is>
          <t>mois</t>
        </is>
      </c>
      <c r="E23" s="12" t="inlineStr">
        <is>
          <t>somme des probabilités de survie sur 12 mois</t>
        </is>
      </c>
    </row>
    <row r="24">
      <c r="B24" s="10" t="inlineStr">
        <is>
          <t>MRR encaissé la première année (avec churn)</t>
        </is>
      </c>
      <c r="C24" s="33">
        <f>'Paramètres'!$C$7*'Unit economics'!$C$23</f>
        <v/>
      </c>
      <c r="D24" s="12" t="inlineStr">
        <is>
          <t>€</t>
        </is>
      </c>
      <c r="E24" s="12" t="inlineStr">
        <is>
          <t>prix_abonnement × mois_payés</t>
        </is>
      </c>
    </row>
    <row r="25">
      <c r="B25" s="10" t="inlineStr">
        <is>
          <t>Euros de revenu par client la première année</t>
        </is>
      </c>
      <c r="C25" s="33">
        <f>'Paramètres'!$C$8+'Unit economics'!$C$22</f>
        <v/>
      </c>
      <c r="D25" s="12" t="inlineStr">
        <is>
          <t>€</t>
        </is>
      </c>
      <c r="E25" s="12" t="inlineStr">
        <is>
          <t>déploiement + 12 mois d'abonnement</t>
        </is>
      </c>
    </row>
    <row r="26">
      <c r="B26" s="10" t="inlineStr">
        <is>
          <t>Euros/h facturés au client la première année</t>
        </is>
      </c>
      <c r="C26" s="39">
        <f>'Unit economics'!$C$25/'Unit economics'!$C$17</f>
        <v/>
      </c>
      <c r="D26" s="12" t="inlineStr">
        <is>
          <t>€/h</t>
        </is>
      </c>
      <c r="E26" s="12" t="inlineStr">
        <is>
          <t>revenu_client_an1 / heures_par_client</t>
        </is>
      </c>
    </row>
    <row r="27">
      <c r="B27" s="10" t="inlineStr">
        <is>
          <t>Euros/h la première année, hors marketing</t>
        </is>
      </c>
      <c r="C27" s="39">
        <f>'Unit economics'!$C$25/('Hypothèses'!$C$16+'Unit economics'!$C$16)</f>
        <v/>
      </c>
      <c r="D27" s="12" t="inlineStr">
        <is>
          <t>€/h</t>
        </is>
      </c>
      <c r="E27" s="12" t="inlineStr">
        <is>
          <t>revenu_client_an1 / (implémentation + prospection)</t>
        </is>
      </c>
    </row>
    <row r="28">
      <c r="B28" s="10" t="inlineStr">
        <is>
          <t>Euros/h net IR la première année</t>
        </is>
      </c>
      <c r="C28" s="39">
        <f>'Unit economics'!$C$26*'Paramètres'!$C$37</f>
        <v/>
      </c>
      <c r="D28" s="12" t="inlineStr">
        <is>
          <t>€/h</t>
        </is>
      </c>
      <c r="E28" s="12" t="inlineStr">
        <is>
          <t>CA_horaire_an1 × taux_net_IR</t>
        </is>
      </c>
    </row>
    <row r="29">
      <c r="B29" s="10" t="inlineStr">
        <is>
          <t>LTV brute (déploiement + abonnements)</t>
        </is>
      </c>
      <c r="C29" s="33">
        <f>'Paramètres'!$C$8+'Paramètres'!$C$7/'Hypothèses'!$C$33</f>
        <v/>
      </c>
      <c r="D29" s="12" t="inlineStr">
        <is>
          <t>€</t>
        </is>
      </c>
      <c r="E29" s="12" t="inlineStr">
        <is>
          <t>prix_déploiement + prix_abonnement / churn</t>
        </is>
      </c>
    </row>
    <row r="30">
      <c r="B30" s="10" t="inlineStr">
        <is>
          <t>LTV nette d'impôt</t>
        </is>
      </c>
      <c r="C30" s="33">
        <f>'Unit economics'!$C$29*'Paramètres'!$C$37</f>
        <v/>
      </c>
      <c r="D30" s="12" t="inlineStr">
        <is>
          <t>€</t>
        </is>
      </c>
      <c r="E30" s="12" t="inlineStr">
        <is>
          <t>LTV_brute × taux_net_IR</t>
        </is>
      </c>
    </row>
    <row r="31">
      <c r="B31" s="10" t="inlineStr">
        <is>
          <t>LTV nette par heure investie</t>
        </is>
      </c>
      <c r="C31" s="39">
        <f>'Unit economics'!$C$30/'Unit economics'!$C$17</f>
        <v/>
      </c>
      <c r="D31" s="12" t="inlineStr">
        <is>
          <t>€/h</t>
        </is>
      </c>
      <c r="E31" s="12" t="inlineStr">
        <is>
          <t>LTV_nette / heures_par_client</t>
        </is>
      </c>
    </row>
    <row r="32">
      <c r="B32" s="10" t="inlineStr">
        <is>
          <t>Durée de vie moyenne d'un abonnement</t>
        </is>
      </c>
      <c r="C32" s="31">
        <f>'Hypothèses'!$C$35</f>
        <v/>
      </c>
      <c r="D32" s="12" t="inlineStr">
        <is>
          <t>mois</t>
        </is>
      </c>
      <c r="E32" s="12" t="inlineStr">
        <is>
          <t>1 / churn_mensuel</t>
        </is>
      </c>
    </row>
    <row r="33">
      <c r="B33" s="10" t="inlineStr">
        <is>
          <t>Churn mensuel équivalent</t>
        </is>
      </c>
      <c r="C33" s="37">
        <f>'Hypothèses'!$C$33</f>
        <v/>
      </c>
      <c r="D33" s="12" t="inlineStr">
        <is>
          <t>%</t>
        </is>
      </c>
      <c r="E33" s="12" t="inlineStr">
        <is>
          <t>1 − rétention^(1/12)</t>
        </is>
      </c>
    </row>
    <row r="35">
      <c r="B35" s="8" t="inlineStr">
        <is>
          <t>Comparatif : combien vaut une heure</t>
        </is>
      </c>
    </row>
    <row r="36">
      <c r="B36" s="40" t="inlineStr">
        <is>
          <t>Salariat (heure de présence)</t>
        </is>
      </c>
      <c r="C36" s="39">
        <f>'Temps &amp; capacité'!$C$16</f>
        <v/>
      </c>
    </row>
    <row r="37">
      <c r="B37" s="40" t="inlineStr">
        <is>
          <t>Salariat (heure de travail réel)</t>
        </is>
      </c>
      <c r="C37" s="39">
        <f>'Temps &amp; capacité'!$C$17</f>
        <v/>
      </c>
    </row>
    <row r="38">
      <c r="B38" s="40" t="inlineStr">
        <is>
          <t>Implémentation facturée, net IR</t>
        </is>
      </c>
      <c r="C38" s="39">
        <f>'Unit economics'!$C$9</f>
        <v/>
      </c>
    </row>
    <row r="39">
      <c r="B39" s="40" t="inlineStr">
        <is>
          <t>Consultant première année, net IR</t>
        </is>
      </c>
      <c r="C39" s="39">
        <f>'Unit economics'!$C$28</f>
        <v/>
      </c>
    </row>
    <row r="40">
      <c r="B40" s="40" t="inlineStr">
        <is>
          <t>Au plateau, net IR</t>
        </is>
      </c>
      <c r="C40" s="39">
        <f>'Hypothèses'!$C$39/'Hypothèses'!$C$20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0B8A9"/>
    <outlinePr summaryBelow="1" summaryRight="1"/>
    <pageSetUpPr/>
  </sheetPr>
  <dimension ref="A1:R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15" customWidth="1" min="9" max="9"/>
    <col width="15" customWidth="1" min="10" max="10"/>
    <col width="14" customWidth="1" min="11" max="11"/>
    <col width="16" customWidth="1" min="12" max="12"/>
    <col width="12" customWidth="1" min="13" max="13"/>
    <col width="14" customWidth="1" min="14" max="14"/>
    <col width="16" customWidth="1" min="15" max="15"/>
    <col width="13" customWidth="1" min="16" max="16"/>
    <col width="12" customWidth="1" min="17" max="17"/>
    <col width="14" customWidth="1" min="18" max="18"/>
  </cols>
  <sheetData>
    <row r="1">
      <c r="A1" s="6" t="inlineStr">
        <is>
          <t>Projection mensuelle du MRR</t>
        </is>
      </c>
    </row>
    <row r="2">
      <c r="A2" s="7" t="inlineStr">
        <is>
          <t>37 mois. Toutes les cellules sont des formules : modifiez la feuille Paramètres.</t>
        </is>
      </c>
    </row>
    <row r="3" ht="30" customHeight="1">
      <c r="A3" s="43" t="inlineStr">
        <is>
          <t>Mois</t>
        </is>
      </c>
      <c r="B3" s="43" t="inlineStr">
        <is>
          <t>Nouveaux clients</t>
        </is>
      </c>
      <c r="C3" s="43" t="inlineStr">
        <is>
          <t>Clients perdus</t>
        </is>
      </c>
      <c r="D3" s="43" t="inlineStr">
        <is>
          <t>Clients actifs</t>
        </is>
      </c>
      <c r="E3" s="43" t="inlineStr">
        <is>
          <t>CA déploiement</t>
        </is>
      </c>
      <c r="F3" s="43" t="inlineStr">
        <is>
          <t>MRR</t>
        </is>
      </c>
      <c r="G3" s="43" t="inlineStr">
        <is>
          <t>CA total</t>
        </is>
      </c>
      <c r="H3" s="43" t="inlineStr">
        <is>
          <t>Net MRR</t>
        </is>
      </c>
      <c r="I3" s="43" t="inlineStr">
        <is>
          <t>Net déploiement</t>
        </is>
      </c>
      <c r="J3" s="43" t="inlineStr">
        <is>
          <t>Net consultant</t>
        </is>
      </c>
      <c r="K3" s="43" t="inlineStr">
        <is>
          <t>Salaire net IR</t>
        </is>
      </c>
      <c r="L3" s="43" t="inlineStr">
        <is>
          <t>Revenu total net</t>
        </is>
      </c>
      <c r="M3" s="43" t="inlineStr">
        <is>
          <t>Épargne</t>
        </is>
      </c>
      <c r="N3" s="43" t="inlineStr">
        <is>
          <t>CA cumulé</t>
        </is>
      </c>
      <c r="O3" s="43" t="inlineStr">
        <is>
          <t>Épargne cumulée</t>
        </is>
      </c>
      <c r="P3" s="43" t="inlineStr">
        <is>
          <t>Part MRR / CA</t>
        </is>
      </c>
      <c r="Q3" s="43" t="inlineStr">
        <is>
          <t>h / semaine</t>
        </is>
      </c>
      <c r="R3" s="43" t="inlineStr">
        <is>
          <t>j éq. / semaine</t>
        </is>
      </c>
    </row>
    <row r="4">
      <c r="A4" s="44">
        <f>DATE('Paramètres'!$C$42,'Paramètres'!$C$43,1)</f>
        <v/>
      </c>
      <c r="B4" s="45">
        <f>'Hypothèses'!$C$11</f>
        <v/>
      </c>
      <c r="C4" s="45" t="n">
        <v>0</v>
      </c>
      <c r="D4" s="46">
        <f>B4</f>
        <v/>
      </c>
      <c r="E4" s="47">
        <f>B4*'Paramètres'!$C$8</f>
        <v/>
      </c>
      <c r="F4" s="48">
        <f>D4*'Paramètres'!$C$7</f>
        <v/>
      </c>
      <c r="G4" s="47">
        <f>E4+F4</f>
        <v/>
      </c>
      <c r="H4" s="47">
        <f>F4*'Paramètres'!$C$37</f>
        <v/>
      </c>
      <c r="I4" s="47">
        <f>E4*'Paramètres'!$C$37</f>
        <v/>
      </c>
      <c r="J4" s="47">
        <f>G4*'Paramètres'!$C$37</f>
        <v/>
      </c>
      <c r="K4" s="47">
        <f>'Hypothèses'!$C$43</f>
        <v/>
      </c>
      <c r="L4" s="49">
        <f>J4+K4</f>
        <v/>
      </c>
      <c r="M4" s="47">
        <f>L4-'Paramètres'!$C$38</f>
        <v/>
      </c>
      <c r="N4" s="47">
        <f>G4</f>
        <v/>
      </c>
      <c r="O4" s="47">
        <f>M4</f>
        <v/>
      </c>
      <c r="P4" s="50">
        <f>IF(G4=0,0,F4/G4)</f>
        <v/>
      </c>
      <c r="Q4" s="46">
        <f>'Hypothèses'!$C$22</f>
        <v/>
      </c>
      <c r="R4" s="45">
        <f>'Hypothèses'!$C$23</f>
        <v/>
      </c>
    </row>
    <row r="5">
      <c r="A5" s="51">
        <f>EDATE(A4,1)</f>
        <v/>
      </c>
      <c r="B5" s="52">
        <f>'Hypothèses'!$C$11</f>
        <v/>
      </c>
      <c r="C5" s="52">
        <f>D4*'Hypothèses'!$C$33</f>
        <v/>
      </c>
      <c r="D5" s="53">
        <f>D4-C5+B5</f>
        <v/>
      </c>
      <c r="E5" s="54">
        <f>B5*'Paramètres'!$C$8</f>
        <v/>
      </c>
      <c r="F5" s="55">
        <f>D5*'Paramètres'!$C$7</f>
        <v/>
      </c>
      <c r="G5" s="54">
        <f>E5+F5</f>
        <v/>
      </c>
      <c r="H5" s="54">
        <f>F5*'Paramètres'!$C$37</f>
        <v/>
      </c>
      <c r="I5" s="54">
        <f>E5*'Paramètres'!$C$37</f>
        <v/>
      </c>
      <c r="J5" s="54">
        <f>G5*'Paramètres'!$C$37</f>
        <v/>
      </c>
      <c r="K5" s="54">
        <f>'Hypothèses'!$C$43</f>
        <v/>
      </c>
      <c r="L5" s="56">
        <f>J5+K5</f>
        <v/>
      </c>
      <c r="M5" s="54">
        <f>L5-'Paramètres'!$C$38</f>
        <v/>
      </c>
      <c r="N5" s="54">
        <f>N4+G5</f>
        <v/>
      </c>
      <c r="O5" s="54">
        <f>O4+M5</f>
        <v/>
      </c>
      <c r="P5" s="57">
        <f>IF(G5=0,0,F5/G5)</f>
        <v/>
      </c>
      <c r="Q5" s="53">
        <f>'Hypothèses'!$C$22</f>
        <v/>
      </c>
      <c r="R5" s="52">
        <f>'Hypothèses'!$C$23</f>
        <v/>
      </c>
    </row>
    <row r="6">
      <c r="A6" s="44">
        <f>EDATE(A5,1)</f>
        <v/>
      </c>
      <c r="B6" s="45">
        <f>'Hypothèses'!$C$11</f>
        <v/>
      </c>
      <c r="C6" s="45">
        <f>D5*'Hypothèses'!$C$33</f>
        <v/>
      </c>
      <c r="D6" s="46">
        <f>D5-C6+B6</f>
        <v/>
      </c>
      <c r="E6" s="47">
        <f>B6*'Paramètres'!$C$8</f>
        <v/>
      </c>
      <c r="F6" s="48">
        <f>D6*'Paramètres'!$C$7</f>
        <v/>
      </c>
      <c r="G6" s="47">
        <f>E6+F6</f>
        <v/>
      </c>
      <c r="H6" s="47">
        <f>F6*'Paramètres'!$C$37</f>
        <v/>
      </c>
      <c r="I6" s="47">
        <f>E6*'Paramètres'!$C$37</f>
        <v/>
      </c>
      <c r="J6" s="47">
        <f>G6*'Paramètres'!$C$37</f>
        <v/>
      </c>
      <c r="K6" s="47">
        <f>'Hypothèses'!$C$43</f>
        <v/>
      </c>
      <c r="L6" s="49">
        <f>J6+K6</f>
        <v/>
      </c>
      <c r="M6" s="47">
        <f>L6-'Paramètres'!$C$38</f>
        <v/>
      </c>
      <c r="N6" s="47">
        <f>N5+G6</f>
        <v/>
      </c>
      <c r="O6" s="47">
        <f>O5+M6</f>
        <v/>
      </c>
      <c r="P6" s="50">
        <f>IF(G6=0,0,F6/G6)</f>
        <v/>
      </c>
      <c r="Q6" s="46">
        <f>'Hypothèses'!$C$22</f>
        <v/>
      </c>
      <c r="R6" s="45">
        <f>'Hypothèses'!$C$23</f>
        <v/>
      </c>
    </row>
    <row r="7">
      <c r="A7" s="51">
        <f>EDATE(A6,1)</f>
        <v/>
      </c>
      <c r="B7" s="52">
        <f>'Hypothèses'!$C$11</f>
        <v/>
      </c>
      <c r="C7" s="52">
        <f>D6*'Hypothèses'!$C$33</f>
        <v/>
      </c>
      <c r="D7" s="53">
        <f>D6-C7+B7</f>
        <v/>
      </c>
      <c r="E7" s="54">
        <f>B7*'Paramètres'!$C$8</f>
        <v/>
      </c>
      <c r="F7" s="55">
        <f>D7*'Paramètres'!$C$7</f>
        <v/>
      </c>
      <c r="G7" s="54">
        <f>E7+F7</f>
        <v/>
      </c>
      <c r="H7" s="54">
        <f>F7*'Paramètres'!$C$37</f>
        <v/>
      </c>
      <c r="I7" s="54">
        <f>E7*'Paramètres'!$C$37</f>
        <v/>
      </c>
      <c r="J7" s="54">
        <f>G7*'Paramètres'!$C$37</f>
        <v/>
      </c>
      <c r="K7" s="54">
        <f>'Hypothèses'!$C$43</f>
        <v/>
      </c>
      <c r="L7" s="56">
        <f>J7+K7</f>
        <v/>
      </c>
      <c r="M7" s="54">
        <f>L7-'Paramètres'!$C$38</f>
        <v/>
      </c>
      <c r="N7" s="54">
        <f>N6+G7</f>
        <v/>
      </c>
      <c r="O7" s="54">
        <f>O6+M7</f>
        <v/>
      </c>
      <c r="P7" s="57">
        <f>IF(G7=0,0,F7/G7)</f>
        <v/>
      </c>
      <c r="Q7" s="53">
        <f>'Hypothèses'!$C$22</f>
        <v/>
      </c>
      <c r="R7" s="52">
        <f>'Hypothèses'!$C$23</f>
        <v/>
      </c>
    </row>
    <row r="8">
      <c r="A8" s="44">
        <f>EDATE(A7,1)</f>
        <v/>
      </c>
      <c r="B8" s="45">
        <f>'Hypothèses'!$C$11</f>
        <v/>
      </c>
      <c r="C8" s="45">
        <f>D7*'Hypothèses'!$C$33</f>
        <v/>
      </c>
      <c r="D8" s="46">
        <f>D7-C8+B8</f>
        <v/>
      </c>
      <c r="E8" s="47">
        <f>B8*'Paramètres'!$C$8</f>
        <v/>
      </c>
      <c r="F8" s="48">
        <f>D8*'Paramètres'!$C$7</f>
        <v/>
      </c>
      <c r="G8" s="47">
        <f>E8+F8</f>
        <v/>
      </c>
      <c r="H8" s="47">
        <f>F8*'Paramètres'!$C$37</f>
        <v/>
      </c>
      <c r="I8" s="47">
        <f>E8*'Paramètres'!$C$37</f>
        <v/>
      </c>
      <c r="J8" s="47">
        <f>G8*'Paramètres'!$C$37</f>
        <v/>
      </c>
      <c r="K8" s="47">
        <f>'Hypothèses'!$C$43</f>
        <v/>
      </c>
      <c r="L8" s="49">
        <f>J8+K8</f>
        <v/>
      </c>
      <c r="M8" s="47">
        <f>L8-'Paramètres'!$C$38</f>
        <v/>
      </c>
      <c r="N8" s="47">
        <f>N7+G8</f>
        <v/>
      </c>
      <c r="O8" s="47">
        <f>O7+M8</f>
        <v/>
      </c>
      <c r="P8" s="50">
        <f>IF(G8=0,0,F8/G8)</f>
        <v/>
      </c>
      <c r="Q8" s="46">
        <f>'Hypothèses'!$C$22</f>
        <v/>
      </c>
      <c r="R8" s="45">
        <f>'Hypothèses'!$C$23</f>
        <v/>
      </c>
    </row>
    <row r="9">
      <c r="A9" s="51">
        <f>EDATE(A8,1)</f>
        <v/>
      </c>
      <c r="B9" s="52">
        <f>'Hypothèses'!$C$11</f>
        <v/>
      </c>
      <c r="C9" s="52">
        <f>D8*'Hypothèses'!$C$33</f>
        <v/>
      </c>
      <c r="D9" s="53">
        <f>D8-C9+B9</f>
        <v/>
      </c>
      <c r="E9" s="54">
        <f>B9*'Paramètres'!$C$8</f>
        <v/>
      </c>
      <c r="F9" s="55">
        <f>D9*'Paramètres'!$C$7</f>
        <v/>
      </c>
      <c r="G9" s="54">
        <f>E9+F9</f>
        <v/>
      </c>
      <c r="H9" s="54">
        <f>F9*'Paramètres'!$C$37</f>
        <v/>
      </c>
      <c r="I9" s="54">
        <f>E9*'Paramètres'!$C$37</f>
        <v/>
      </c>
      <c r="J9" s="54">
        <f>G9*'Paramètres'!$C$37</f>
        <v/>
      </c>
      <c r="K9" s="54">
        <f>'Hypothèses'!$C$43</f>
        <v/>
      </c>
      <c r="L9" s="56">
        <f>J9+K9</f>
        <v/>
      </c>
      <c r="M9" s="54">
        <f>L9-'Paramètres'!$C$38</f>
        <v/>
      </c>
      <c r="N9" s="54">
        <f>N8+G9</f>
        <v/>
      </c>
      <c r="O9" s="54">
        <f>O8+M9</f>
        <v/>
      </c>
      <c r="P9" s="57">
        <f>IF(G9=0,0,F9/G9)</f>
        <v/>
      </c>
      <c r="Q9" s="53">
        <f>'Hypothèses'!$C$22</f>
        <v/>
      </c>
      <c r="R9" s="52">
        <f>'Hypothèses'!$C$23</f>
        <v/>
      </c>
    </row>
    <row r="10">
      <c r="A10" s="44">
        <f>EDATE(A9,1)</f>
        <v/>
      </c>
      <c r="B10" s="45">
        <f>'Hypothèses'!$C$11</f>
        <v/>
      </c>
      <c r="C10" s="45">
        <f>D9*'Hypothèses'!$C$33</f>
        <v/>
      </c>
      <c r="D10" s="46">
        <f>D9-C10+B10</f>
        <v/>
      </c>
      <c r="E10" s="47">
        <f>B10*'Paramètres'!$C$8</f>
        <v/>
      </c>
      <c r="F10" s="48">
        <f>D10*'Paramètres'!$C$7</f>
        <v/>
      </c>
      <c r="G10" s="47">
        <f>E10+F10</f>
        <v/>
      </c>
      <c r="H10" s="47">
        <f>F10*'Paramètres'!$C$37</f>
        <v/>
      </c>
      <c r="I10" s="47">
        <f>E10*'Paramètres'!$C$37</f>
        <v/>
      </c>
      <c r="J10" s="47">
        <f>G10*'Paramètres'!$C$37</f>
        <v/>
      </c>
      <c r="K10" s="47">
        <f>'Hypothèses'!$C$43</f>
        <v/>
      </c>
      <c r="L10" s="49">
        <f>J10+K10</f>
        <v/>
      </c>
      <c r="M10" s="47">
        <f>L10-'Paramètres'!$C$38</f>
        <v/>
      </c>
      <c r="N10" s="47">
        <f>N9+G10</f>
        <v/>
      </c>
      <c r="O10" s="47">
        <f>O9+M10</f>
        <v/>
      </c>
      <c r="P10" s="50">
        <f>IF(G10=0,0,F10/G10)</f>
        <v/>
      </c>
      <c r="Q10" s="46">
        <f>'Hypothèses'!$C$22</f>
        <v/>
      </c>
      <c r="R10" s="45">
        <f>'Hypothèses'!$C$23</f>
        <v/>
      </c>
    </row>
    <row r="11">
      <c r="A11" s="51">
        <f>EDATE(A10,1)</f>
        <v/>
      </c>
      <c r="B11" s="52">
        <f>'Hypothèses'!$C$11</f>
        <v/>
      </c>
      <c r="C11" s="52">
        <f>D10*'Hypothèses'!$C$33</f>
        <v/>
      </c>
      <c r="D11" s="53">
        <f>D10-C11+B11</f>
        <v/>
      </c>
      <c r="E11" s="54">
        <f>B11*'Paramètres'!$C$8</f>
        <v/>
      </c>
      <c r="F11" s="55">
        <f>D11*'Paramètres'!$C$7</f>
        <v/>
      </c>
      <c r="G11" s="54">
        <f>E11+F11</f>
        <v/>
      </c>
      <c r="H11" s="54">
        <f>F11*'Paramètres'!$C$37</f>
        <v/>
      </c>
      <c r="I11" s="54">
        <f>E11*'Paramètres'!$C$37</f>
        <v/>
      </c>
      <c r="J11" s="54">
        <f>G11*'Paramètres'!$C$37</f>
        <v/>
      </c>
      <c r="K11" s="54">
        <f>'Hypothèses'!$C$43</f>
        <v/>
      </c>
      <c r="L11" s="56">
        <f>J11+K11</f>
        <v/>
      </c>
      <c r="M11" s="54">
        <f>L11-'Paramètres'!$C$38</f>
        <v/>
      </c>
      <c r="N11" s="54">
        <f>N10+G11</f>
        <v/>
      </c>
      <c r="O11" s="54">
        <f>O10+M11</f>
        <v/>
      </c>
      <c r="P11" s="57">
        <f>IF(G11=0,0,F11/G11)</f>
        <v/>
      </c>
      <c r="Q11" s="53">
        <f>'Hypothèses'!$C$22</f>
        <v/>
      </c>
      <c r="R11" s="52">
        <f>'Hypothèses'!$C$23</f>
        <v/>
      </c>
    </row>
    <row r="12">
      <c r="A12" s="44">
        <f>EDATE(A11,1)</f>
        <v/>
      </c>
      <c r="B12" s="45">
        <f>'Hypothèses'!$C$11</f>
        <v/>
      </c>
      <c r="C12" s="45">
        <f>D11*'Hypothèses'!$C$33</f>
        <v/>
      </c>
      <c r="D12" s="46">
        <f>D11-C12+B12</f>
        <v/>
      </c>
      <c r="E12" s="47">
        <f>B12*'Paramètres'!$C$8</f>
        <v/>
      </c>
      <c r="F12" s="48">
        <f>D12*'Paramètres'!$C$7</f>
        <v/>
      </c>
      <c r="G12" s="47">
        <f>E12+F12</f>
        <v/>
      </c>
      <c r="H12" s="47">
        <f>F12*'Paramètres'!$C$37</f>
        <v/>
      </c>
      <c r="I12" s="47">
        <f>E12*'Paramètres'!$C$37</f>
        <v/>
      </c>
      <c r="J12" s="47">
        <f>G12*'Paramètres'!$C$37</f>
        <v/>
      </c>
      <c r="K12" s="47">
        <f>'Hypothèses'!$C$43</f>
        <v/>
      </c>
      <c r="L12" s="49">
        <f>J12+K12</f>
        <v/>
      </c>
      <c r="M12" s="47">
        <f>L12-'Paramètres'!$C$38</f>
        <v/>
      </c>
      <c r="N12" s="47">
        <f>N11+G12</f>
        <v/>
      </c>
      <c r="O12" s="47">
        <f>O11+M12</f>
        <v/>
      </c>
      <c r="P12" s="50">
        <f>IF(G12=0,0,F12/G12)</f>
        <v/>
      </c>
      <c r="Q12" s="46">
        <f>'Hypothèses'!$C$22</f>
        <v/>
      </c>
      <c r="R12" s="45">
        <f>'Hypothèses'!$C$23</f>
        <v/>
      </c>
    </row>
    <row r="13">
      <c r="A13" s="51">
        <f>EDATE(A12,1)</f>
        <v/>
      </c>
      <c r="B13" s="52">
        <f>'Hypothèses'!$C$11</f>
        <v/>
      </c>
      <c r="C13" s="52">
        <f>D12*'Hypothèses'!$C$33</f>
        <v/>
      </c>
      <c r="D13" s="53">
        <f>D12-C13+B13</f>
        <v/>
      </c>
      <c r="E13" s="54">
        <f>B13*'Paramètres'!$C$8</f>
        <v/>
      </c>
      <c r="F13" s="55">
        <f>D13*'Paramètres'!$C$7</f>
        <v/>
      </c>
      <c r="G13" s="54">
        <f>E13+F13</f>
        <v/>
      </c>
      <c r="H13" s="54">
        <f>F13*'Paramètres'!$C$37</f>
        <v/>
      </c>
      <c r="I13" s="54">
        <f>E13*'Paramètres'!$C$37</f>
        <v/>
      </c>
      <c r="J13" s="54">
        <f>G13*'Paramètres'!$C$37</f>
        <v/>
      </c>
      <c r="K13" s="54">
        <f>'Hypothèses'!$C$43</f>
        <v/>
      </c>
      <c r="L13" s="56">
        <f>J13+K13</f>
        <v/>
      </c>
      <c r="M13" s="54">
        <f>L13-'Paramètres'!$C$38</f>
        <v/>
      </c>
      <c r="N13" s="54">
        <f>N12+G13</f>
        <v/>
      </c>
      <c r="O13" s="54">
        <f>O12+M13</f>
        <v/>
      </c>
      <c r="P13" s="57">
        <f>IF(G13=0,0,F13/G13)</f>
        <v/>
      </c>
      <c r="Q13" s="53">
        <f>'Hypothèses'!$C$22</f>
        <v/>
      </c>
      <c r="R13" s="52">
        <f>'Hypothèses'!$C$23</f>
        <v/>
      </c>
    </row>
    <row r="14">
      <c r="A14" s="44">
        <f>EDATE(A13,1)</f>
        <v/>
      </c>
      <c r="B14" s="45">
        <f>'Hypothèses'!$C$11</f>
        <v/>
      </c>
      <c r="C14" s="45">
        <f>D13*'Hypothèses'!$C$33</f>
        <v/>
      </c>
      <c r="D14" s="46">
        <f>D13-C14+B14</f>
        <v/>
      </c>
      <c r="E14" s="47">
        <f>B14*'Paramètres'!$C$8</f>
        <v/>
      </c>
      <c r="F14" s="48">
        <f>D14*'Paramètres'!$C$7</f>
        <v/>
      </c>
      <c r="G14" s="47">
        <f>E14+F14</f>
        <v/>
      </c>
      <c r="H14" s="47">
        <f>F14*'Paramètres'!$C$37</f>
        <v/>
      </c>
      <c r="I14" s="47">
        <f>E14*'Paramètres'!$C$37</f>
        <v/>
      </c>
      <c r="J14" s="47">
        <f>G14*'Paramètres'!$C$37</f>
        <v/>
      </c>
      <c r="K14" s="47">
        <f>'Hypothèses'!$C$43</f>
        <v/>
      </c>
      <c r="L14" s="49">
        <f>J14+K14</f>
        <v/>
      </c>
      <c r="M14" s="47">
        <f>L14-'Paramètres'!$C$38</f>
        <v/>
      </c>
      <c r="N14" s="47">
        <f>N13+G14</f>
        <v/>
      </c>
      <c r="O14" s="47">
        <f>O13+M14</f>
        <v/>
      </c>
      <c r="P14" s="50">
        <f>IF(G14=0,0,F14/G14)</f>
        <v/>
      </c>
      <c r="Q14" s="46">
        <f>'Hypothèses'!$C$22</f>
        <v/>
      </c>
      <c r="R14" s="45">
        <f>'Hypothèses'!$C$23</f>
        <v/>
      </c>
    </row>
    <row r="15">
      <c r="A15" s="51">
        <f>EDATE(A14,1)</f>
        <v/>
      </c>
      <c r="B15" s="52">
        <f>'Hypothèses'!$C$11</f>
        <v/>
      </c>
      <c r="C15" s="52">
        <f>D14*'Hypothèses'!$C$33</f>
        <v/>
      </c>
      <c r="D15" s="53">
        <f>D14-C15+B15</f>
        <v/>
      </c>
      <c r="E15" s="54">
        <f>B15*'Paramètres'!$C$8</f>
        <v/>
      </c>
      <c r="F15" s="55">
        <f>D15*'Paramètres'!$C$7</f>
        <v/>
      </c>
      <c r="G15" s="54">
        <f>E15+F15</f>
        <v/>
      </c>
      <c r="H15" s="54">
        <f>F15*'Paramètres'!$C$37</f>
        <v/>
      </c>
      <c r="I15" s="54">
        <f>E15*'Paramètres'!$C$37</f>
        <v/>
      </c>
      <c r="J15" s="54">
        <f>G15*'Paramètres'!$C$37</f>
        <v/>
      </c>
      <c r="K15" s="54">
        <f>'Hypothèses'!$C$43</f>
        <v/>
      </c>
      <c r="L15" s="56">
        <f>J15+K15</f>
        <v/>
      </c>
      <c r="M15" s="54">
        <f>L15-'Paramètres'!$C$38</f>
        <v/>
      </c>
      <c r="N15" s="54">
        <f>N14+G15</f>
        <v/>
      </c>
      <c r="O15" s="54">
        <f>O14+M15</f>
        <v/>
      </c>
      <c r="P15" s="57">
        <f>IF(G15=0,0,F15/G15)</f>
        <v/>
      </c>
      <c r="Q15" s="53">
        <f>'Hypothèses'!$C$22</f>
        <v/>
      </c>
      <c r="R15" s="52">
        <f>'Hypothèses'!$C$23</f>
        <v/>
      </c>
    </row>
    <row r="16">
      <c r="A16" s="44">
        <f>EDATE(A15,1)</f>
        <v/>
      </c>
      <c r="B16" s="45">
        <f>'Hypothèses'!$C$11</f>
        <v/>
      </c>
      <c r="C16" s="45">
        <f>D15*'Hypothèses'!$C$33</f>
        <v/>
      </c>
      <c r="D16" s="46">
        <f>D15-C16+B16</f>
        <v/>
      </c>
      <c r="E16" s="47">
        <f>B16*'Paramètres'!$C$8</f>
        <v/>
      </c>
      <c r="F16" s="48">
        <f>D16*'Paramètres'!$C$7</f>
        <v/>
      </c>
      <c r="G16" s="47">
        <f>E16+F16</f>
        <v/>
      </c>
      <c r="H16" s="47">
        <f>F16*'Paramètres'!$C$37</f>
        <v/>
      </c>
      <c r="I16" s="47">
        <f>E16*'Paramètres'!$C$37</f>
        <v/>
      </c>
      <c r="J16" s="47">
        <f>G16*'Paramètres'!$C$37</f>
        <v/>
      </c>
      <c r="K16" s="47">
        <f>'Hypothèses'!$C$43</f>
        <v/>
      </c>
      <c r="L16" s="49">
        <f>J16+K16</f>
        <v/>
      </c>
      <c r="M16" s="47">
        <f>L16-'Paramètres'!$C$38</f>
        <v/>
      </c>
      <c r="N16" s="47">
        <f>N15+G16</f>
        <v/>
      </c>
      <c r="O16" s="47">
        <f>O15+M16</f>
        <v/>
      </c>
      <c r="P16" s="50">
        <f>IF(G16=0,0,F16/G16)</f>
        <v/>
      </c>
      <c r="Q16" s="46">
        <f>'Hypothèses'!$C$22</f>
        <v/>
      </c>
      <c r="R16" s="45">
        <f>'Hypothèses'!$C$23</f>
        <v/>
      </c>
    </row>
    <row r="17">
      <c r="A17" s="51">
        <f>EDATE(A16,1)</f>
        <v/>
      </c>
      <c r="B17" s="52">
        <f>'Hypothèses'!$C$11</f>
        <v/>
      </c>
      <c r="C17" s="52">
        <f>D16*'Hypothèses'!$C$33</f>
        <v/>
      </c>
      <c r="D17" s="53">
        <f>D16-C17+B17</f>
        <v/>
      </c>
      <c r="E17" s="54">
        <f>B17*'Paramètres'!$C$8</f>
        <v/>
      </c>
      <c r="F17" s="55">
        <f>D17*'Paramètres'!$C$7</f>
        <v/>
      </c>
      <c r="G17" s="54">
        <f>E17+F17</f>
        <v/>
      </c>
      <c r="H17" s="54">
        <f>F17*'Paramètres'!$C$37</f>
        <v/>
      </c>
      <c r="I17" s="54">
        <f>E17*'Paramètres'!$C$37</f>
        <v/>
      </c>
      <c r="J17" s="54">
        <f>G17*'Paramètres'!$C$37</f>
        <v/>
      </c>
      <c r="K17" s="54">
        <f>'Hypothèses'!$C$43</f>
        <v/>
      </c>
      <c r="L17" s="56">
        <f>J17+K17</f>
        <v/>
      </c>
      <c r="M17" s="54">
        <f>L17-'Paramètres'!$C$38</f>
        <v/>
      </c>
      <c r="N17" s="54">
        <f>N16+G17</f>
        <v/>
      </c>
      <c r="O17" s="54">
        <f>O16+M17</f>
        <v/>
      </c>
      <c r="P17" s="57">
        <f>IF(G17=0,0,F17/G17)</f>
        <v/>
      </c>
      <c r="Q17" s="53">
        <f>'Hypothèses'!$C$22</f>
        <v/>
      </c>
      <c r="R17" s="52">
        <f>'Hypothèses'!$C$23</f>
        <v/>
      </c>
    </row>
    <row r="18">
      <c r="A18" s="44">
        <f>EDATE(A17,1)</f>
        <v/>
      </c>
      <c r="B18" s="45">
        <f>'Hypothèses'!$C$11</f>
        <v/>
      </c>
      <c r="C18" s="45">
        <f>D17*'Hypothèses'!$C$33</f>
        <v/>
      </c>
      <c r="D18" s="46">
        <f>D17-C18+B18</f>
        <v/>
      </c>
      <c r="E18" s="47">
        <f>B18*'Paramètres'!$C$8</f>
        <v/>
      </c>
      <c r="F18" s="48">
        <f>D18*'Paramètres'!$C$7</f>
        <v/>
      </c>
      <c r="G18" s="47">
        <f>E18+F18</f>
        <v/>
      </c>
      <c r="H18" s="47">
        <f>F18*'Paramètres'!$C$37</f>
        <v/>
      </c>
      <c r="I18" s="47">
        <f>E18*'Paramètres'!$C$37</f>
        <v/>
      </c>
      <c r="J18" s="47">
        <f>G18*'Paramètres'!$C$37</f>
        <v/>
      </c>
      <c r="K18" s="47">
        <f>'Hypothèses'!$C$43</f>
        <v/>
      </c>
      <c r="L18" s="49">
        <f>J18+K18</f>
        <v/>
      </c>
      <c r="M18" s="47">
        <f>L18-'Paramètres'!$C$38</f>
        <v/>
      </c>
      <c r="N18" s="47">
        <f>N17+G18</f>
        <v/>
      </c>
      <c r="O18" s="47">
        <f>O17+M18</f>
        <v/>
      </c>
      <c r="P18" s="50">
        <f>IF(G18=0,0,F18/G18)</f>
        <v/>
      </c>
      <c r="Q18" s="46">
        <f>'Hypothèses'!$C$22</f>
        <v/>
      </c>
      <c r="R18" s="45">
        <f>'Hypothèses'!$C$23</f>
        <v/>
      </c>
    </row>
    <row r="19">
      <c r="A19" s="51">
        <f>EDATE(A18,1)</f>
        <v/>
      </c>
      <c r="B19" s="52">
        <f>'Hypothèses'!$C$11</f>
        <v/>
      </c>
      <c r="C19" s="52">
        <f>D18*'Hypothèses'!$C$33</f>
        <v/>
      </c>
      <c r="D19" s="53">
        <f>D18-C19+B19</f>
        <v/>
      </c>
      <c r="E19" s="54">
        <f>B19*'Paramètres'!$C$8</f>
        <v/>
      </c>
      <c r="F19" s="55">
        <f>D19*'Paramètres'!$C$7</f>
        <v/>
      </c>
      <c r="G19" s="54">
        <f>E19+F19</f>
        <v/>
      </c>
      <c r="H19" s="54">
        <f>F19*'Paramètres'!$C$37</f>
        <v/>
      </c>
      <c r="I19" s="54">
        <f>E19*'Paramètres'!$C$37</f>
        <v/>
      </c>
      <c r="J19" s="54">
        <f>G19*'Paramètres'!$C$37</f>
        <v/>
      </c>
      <c r="K19" s="54">
        <f>'Hypothèses'!$C$43</f>
        <v/>
      </c>
      <c r="L19" s="56">
        <f>J19+K19</f>
        <v/>
      </c>
      <c r="M19" s="54">
        <f>L19-'Paramètres'!$C$38</f>
        <v/>
      </c>
      <c r="N19" s="54">
        <f>N18+G19</f>
        <v/>
      </c>
      <c r="O19" s="54">
        <f>O18+M19</f>
        <v/>
      </c>
      <c r="P19" s="57">
        <f>IF(G19=0,0,F19/G19)</f>
        <v/>
      </c>
      <c r="Q19" s="53">
        <f>'Hypothèses'!$C$22</f>
        <v/>
      </c>
      <c r="R19" s="52">
        <f>'Hypothèses'!$C$23</f>
        <v/>
      </c>
    </row>
    <row r="20">
      <c r="A20" s="44">
        <f>EDATE(A19,1)</f>
        <v/>
      </c>
      <c r="B20" s="45">
        <f>'Hypothèses'!$C$11</f>
        <v/>
      </c>
      <c r="C20" s="45">
        <f>D19*'Hypothèses'!$C$33</f>
        <v/>
      </c>
      <c r="D20" s="46">
        <f>D19-C20+B20</f>
        <v/>
      </c>
      <c r="E20" s="47">
        <f>B20*'Paramètres'!$C$8</f>
        <v/>
      </c>
      <c r="F20" s="48">
        <f>D20*'Paramètres'!$C$7</f>
        <v/>
      </c>
      <c r="G20" s="47">
        <f>E20+F20</f>
        <v/>
      </c>
      <c r="H20" s="47">
        <f>F20*'Paramètres'!$C$37</f>
        <v/>
      </c>
      <c r="I20" s="47">
        <f>E20*'Paramètres'!$C$37</f>
        <v/>
      </c>
      <c r="J20" s="47">
        <f>G20*'Paramètres'!$C$37</f>
        <v/>
      </c>
      <c r="K20" s="47">
        <f>'Hypothèses'!$C$43</f>
        <v/>
      </c>
      <c r="L20" s="49">
        <f>J20+K20</f>
        <v/>
      </c>
      <c r="M20" s="47">
        <f>L20-'Paramètres'!$C$38</f>
        <v/>
      </c>
      <c r="N20" s="47">
        <f>N19+G20</f>
        <v/>
      </c>
      <c r="O20" s="47">
        <f>O19+M20</f>
        <v/>
      </c>
      <c r="P20" s="50">
        <f>IF(G20=0,0,F20/G20)</f>
        <v/>
      </c>
      <c r="Q20" s="46">
        <f>'Hypothèses'!$C$22</f>
        <v/>
      </c>
      <c r="R20" s="45">
        <f>'Hypothèses'!$C$23</f>
        <v/>
      </c>
    </row>
    <row r="21">
      <c r="A21" s="51">
        <f>EDATE(A20,1)</f>
        <v/>
      </c>
      <c r="B21" s="52">
        <f>'Hypothèses'!$C$11</f>
        <v/>
      </c>
      <c r="C21" s="52">
        <f>D20*'Hypothèses'!$C$33</f>
        <v/>
      </c>
      <c r="D21" s="53">
        <f>D20-C21+B21</f>
        <v/>
      </c>
      <c r="E21" s="54">
        <f>B21*'Paramètres'!$C$8</f>
        <v/>
      </c>
      <c r="F21" s="55">
        <f>D21*'Paramètres'!$C$7</f>
        <v/>
      </c>
      <c r="G21" s="54">
        <f>E21+F21</f>
        <v/>
      </c>
      <c r="H21" s="54">
        <f>F21*'Paramètres'!$C$37</f>
        <v/>
      </c>
      <c r="I21" s="54">
        <f>E21*'Paramètres'!$C$37</f>
        <v/>
      </c>
      <c r="J21" s="54">
        <f>G21*'Paramètres'!$C$37</f>
        <v/>
      </c>
      <c r="K21" s="54">
        <f>'Hypothèses'!$C$43</f>
        <v/>
      </c>
      <c r="L21" s="56">
        <f>J21+K21</f>
        <v/>
      </c>
      <c r="M21" s="54">
        <f>L21-'Paramètres'!$C$38</f>
        <v/>
      </c>
      <c r="N21" s="54">
        <f>N20+G21</f>
        <v/>
      </c>
      <c r="O21" s="54">
        <f>O20+M21</f>
        <v/>
      </c>
      <c r="P21" s="57">
        <f>IF(G21=0,0,F21/G21)</f>
        <v/>
      </c>
      <c r="Q21" s="53">
        <f>'Hypothèses'!$C$22</f>
        <v/>
      </c>
      <c r="R21" s="52">
        <f>'Hypothèses'!$C$23</f>
        <v/>
      </c>
    </row>
    <row r="22">
      <c r="A22" s="44">
        <f>EDATE(A21,1)</f>
        <v/>
      </c>
      <c r="B22" s="45">
        <f>'Hypothèses'!$C$11</f>
        <v/>
      </c>
      <c r="C22" s="45">
        <f>D21*'Hypothèses'!$C$33</f>
        <v/>
      </c>
      <c r="D22" s="46">
        <f>D21-C22+B22</f>
        <v/>
      </c>
      <c r="E22" s="47">
        <f>B22*'Paramètres'!$C$8</f>
        <v/>
      </c>
      <c r="F22" s="48">
        <f>D22*'Paramètres'!$C$7</f>
        <v/>
      </c>
      <c r="G22" s="47">
        <f>E22+F22</f>
        <v/>
      </c>
      <c r="H22" s="47">
        <f>F22*'Paramètres'!$C$37</f>
        <v/>
      </c>
      <c r="I22" s="47">
        <f>E22*'Paramètres'!$C$37</f>
        <v/>
      </c>
      <c r="J22" s="47">
        <f>G22*'Paramètres'!$C$37</f>
        <v/>
      </c>
      <c r="K22" s="47">
        <f>'Hypothèses'!$C$43</f>
        <v/>
      </c>
      <c r="L22" s="49">
        <f>J22+K22</f>
        <v/>
      </c>
      <c r="M22" s="47">
        <f>L22-'Paramètres'!$C$38</f>
        <v/>
      </c>
      <c r="N22" s="47">
        <f>N21+G22</f>
        <v/>
      </c>
      <c r="O22" s="47">
        <f>O21+M22</f>
        <v/>
      </c>
      <c r="P22" s="50">
        <f>IF(G22=0,0,F22/G22)</f>
        <v/>
      </c>
      <c r="Q22" s="46">
        <f>'Hypothèses'!$C$22</f>
        <v/>
      </c>
      <c r="R22" s="45">
        <f>'Hypothèses'!$C$23</f>
        <v/>
      </c>
    </row>
    <row r="23">
      <c r="A23" s="51">
        <f>EDATE(A22,1)</f>
        <v/>
      </c>
      <c r="B23" s="52">
        <f>'Hypothèses'!$C$11</f>
        <v/>
      </c>
      <c r="C23" s="52">
        <f>D22*'Hypothèses'!$C$33</f>
        <v/>
      </c>
      <c r="D23" s="53">
        <f>D22-C23+B23</f>
        <v/>
      </c>
      <c r="E23" s="54">
        <f>B23*'Paramètres'!$C$8</f>
        <v/>
      </c>
      <c r="F23" s="55">
        <f>D23*'Paramètres'!$C$7</f>
        <v/>
      </c>
      <c r="G23" s="54">
        <f>E23+F23</f>
        <v/>
      </c>
      <c r="H23" s="54">
        <f>F23*'Paramètres'!$C$37</f>
        <v/>
      </c>
      <c r="I23" s="54">
        <f>E23*'Paramètres'!$C$37</f>
        <v/>
      </c>
      <c r="J23" s="54">
        <f>G23*'Paramètres'!$C$37</f>
        <v/>
      </c>
      <c r="K23" s="54">
        <f>'Hypothèses'!$C$43</f>
        <v/>
      </c>
      <c r="L23" s="56">
        <f>J23+K23</f>
        <v/>
      </c>
      <c r="M23" s="54">
        <f>L23-'Paramètres'!$C$38</f>
        <v/>
      </c>
      <c r="N23" s="54">
        <f>N22+G23</f>
        <v/>
      </c>
      <c r="O23" s="54">
        <f>O22+M23</f>
        <v/>
      </c>
      <c r="P23" s="57">
        <f>IF(G23=0,0,F23/G23)</f>
        <v/>
      </c>
      <c r="Q23" s="53">
        <f>'Hypothèses'!$C$22</f>
        <v/>
      </c>
      <c r="R23" s="52">
        <f>'Hypothèses'!$C$23</f>
        <v/>
      </c>
    </row>
    <row r="24">
      <c r="A24" s="44">
        <f>EDATE(A23,1)</f>
        <v/>
      </c>
      <c r="B24" s="45">
        <f>'Hypothèses'!$C$11</f>
        <v/>
      </c>
      <c r="C24" s="45">
        <f>D23*'Hypothèses'!$C$33</f>
        <v/>
      </c>
      <c r="D24" s="46">
        <f>D23-C24+B24</f>
        <v/>
      </c>
      <c r="E24" s="47">
        <f>B24*'Paramètres'!$C$8</f>
        <v/>
      </c>
      <c r="F24" s="48">
        <f>D24*'Paramètres'!$C$7</f>
        <v/>
      </c>
      <c r="G24" s="47">
        <f>E24+F24</f>
        <v/>
      </c>
      <c r="H24" s="47">
        <f>F24*'Paramètres'!$C$37</f>
        <v/>
      </c>
      <c r="I24" s="47">
        <f>E24*'Paramètres'!$C$37</f>
        <v/>
      </c>
      <c r="J24" s="47">
        <f>G24*'Paramètres'!$C$37</f>
        <v/>
      </c>
      <c r="K24" s="47">
        <f>'Hypothèses'!$C$43</f>
        <v/>
      </c>
      <c r="L24" s="49">
        <f>J24+K24</f>
        <v/>
      </c>
      <c r="M24" s="47">
        <f>L24-'Paramètres'!$C$38</f>
        <v/>
      </c>
      <c r="N24" s="47">
        <f>N23+G24</f>
        <v/>
      </c>
      <c r="O24" s="47">
        <f>O23+M24</f>
        <v/>
      </c>
      <c r="P24" s="50">
        <f>IF(G24=0,0,F24/G24)</f>
        <v/>
      </c>
      <c r="Q24" s="46">
        <f>'Hypothèses'!$C$22</f>
        <v/>
      </c>
      <c r="R24" s="45">
        <f>'Hypothèses'!$C$23</f>
        <v/>
      </c>
    </row>
    <row r="25">
      <c r="A25" s="51">
        <f>EDATE(A24,1)</f>
        <v/>
      </c>
      <c r="B25" s="52">
        <f>'Hypothèses'!$C$11</f>
        <v/>
      </c>
      <c r="C25" s="52">
        <f>D24*'Hypothèses'!$C$33</f>
        <v/>
      </c>
      <c r="D25" s="53">
        <f>D24-C25+B25</f>
        <v/>
      </c>
      <c r="E25" s="54">
        <f>B25*'Paramètres'!$C$8</f>
        <v/>
      </c>
      <c r="F25" s="55">
        <f>D25*'Paramètres'!$C$7</f>
        <v/>
      </c>
      <c r="G25" s="54">
        <f>E25+F25</f>
        <v/>
      </c>
      <c r="H25" s="54">
        <f>F25*'Paramètres'!$C$37</f>
        <v/>
      </c>
      <c r="I25" s="54">
        <f>E25*'Paramètres'!$C$37</f>
        <v/>
      </c>
      <c r="J25" s="54">
        <f>G25*'Paramètres'!$C$37</f>
        <v/>
      </c>
      <c r="K25" s="54">
        <f>'Hypothèses'!$C$43</f>
        <v/>
      </c>
      <c r="L25" s="56">
        <f>J25+K25</f>
        <v/>
      </c>
      <c r="M25" s="54">
        <f>L25-'Paramètres'!$C$38</f>
        <v/>
      </c>
      <c r="N25" s="54">
        <f>N24+G25</f>
        <v/>
      </c>
      <c r="O25" s="54">
        <f>O24+M25</f>
        <v/>
      </c>
      <c r="P25" s="57">
        <f>IF(G25=0,0,F25/G25)</f>
        <v/>
      </c>
      <c r="Q25" s="53">
        <f>'Hypothèses'!$C$22</f>
        <v/>
      </c>
      <c r="R25" s="52">
        <f>'Hypothèses'!$C$23</f>
        <v/>
      </c>
    </row>
    <row r="26">
      <c r="A26" s="44">
        <f>EDATE(A25,1)</f>
        <v/>
      </c>
      <c r="B26" s="45">
        <f>'Hypothèses'!$C$11</f>
        <v/>
      </c>
      <c r="C26" s="45">
        <f>D25*'Hypothèses'!$C$33</f>
        <v/>
      </c>
      <c r="D26" s="46">
        <f>D25-C26+B26</f>
        <v/>
      </c>
      <c r="E26" s="47">
        <f>B26*'Paramètres'!$C$8</f>
        <v/>
      </c>
      <c r="F26" s="48">
        <f>D26*'Paramètres'!$C$7</f>
        <v/>
      </c>
      <c r="G26" s="47">
        <f>E26+F26</f>
        <v/>
      </c>
      <c r="H26" s="47">
        <f>F26*'Paramètres'!$C$37</f>
        <v/>
      </c>
      <c r="I26" s="47">
        <f>E26*'Paramètres'!$C$37</f>
        <v/>
      </c>
      <c r="J26" s="47">
        <f>G26*'Paramètres'!$C$37</f>
        <v/>
      </c>
      <c r="K26" s="47">
        <f>'Hypothèses'!$C$43</f>
        <v/>
      </c>
      <c r="L26" s="49">
        <f>J26+K26</f>
        <v/>
      </c>
      <c r="M26" s="47">
        <f>L26-'Paramètres'!$C$38</f>
        <v/>
      </c>
      <c r="N26" s="47">
        <f>N25+G26</f>
        <v/>
      </c>
      <c r="O26" s="47">
        <f>O25+M26</f>
        <v/>
      </c>
      <c r="P26" s="50">
        <f>IF(G26=0,0,F26/G26)</f>
        <v/>
      </c>
      <c r="Q26" s="46">
        <f>'Hypothèses'!$C$22</f>
        <v/>
      </c>
      <c r="R26" s="45">
        <f>'Hypothèses'!$C$23</f>
        <v/>
      </c>
    </row>
    <row r="27">
      <c r="A27" s="51">
        <f>EDATE(A26,1)</f>
        <v/>
      </c>
      <c r="B27" s="52">
        <f>'Hypothèses'!$C$11</f>
        <v/>
      </c>
      <c r="C27" s="52">
        <f>D26*'Hypothèses'!$C$33</f>
        <v/>
      </c>
      <c r="D27" s="53">
        <f>D26-C27+B27</f>
        <v/>
      </c>
      <c r="E27" s="54">
        <f>B27*'Paramètres'!$C$8</f>
        <v/>
      </c>
      <c r="F27" s="55">
        <f>D27*'Paramètres'!$C$7</f>
        <v/>
      </c>
      <c r="G27" s="54">
        <f>E27+F27</f>
        <v/>
      </c>
      <c r="H27" s="54">
        <f>F27*'Paramètres'!$C$37</f>
        <v/>
      </c>
      <c r="I27" s="54">
        <f>E27*'Paramètres'!$C$37</f>
        <v/>
      </c>
      <c r="J27" s="54">
        <f>G27*'Paramètres'!$C$37</f>
        <v/>
      </c>
      <c r="K27" s="54">
        <f>'Hypothèses'!$C$43</f>
        <v/>
      </c>
      <c r="L27" s="56">
        <f>J27+K27</f>
        <v/>
      </c>
      <c r="M27" s="54">
        <f>L27-'Paramètres'!$C$38</f>
        <v/>
      </c>
      <c r="N27" s="54">
        <f>N26+G27</f>
        <v/>
      </c>
      <c r="O27" s="54">
        <f>O26+M27</f>
        <v/>
      </c>
      <c r="P27" s="57">
        <f>IF(G27=0,0,F27/G27)</f>
        <v/>
      </c>
      <c r="Q27" s="53">
        <f>'Hypothèses'!$C$22</f>
        <v/>
      </c>
      <c r="R27" s="52">
        <f>'Hypothèses'!$C$23</f>
        <v/>
      </c>
    </row>
    <row r="28">
      <c r="A28" s="44">
        <f>EDATE(A27,1)</f>
        <v/>
      </c>
      <c r="B28" s="45">
        <f>'Hypothèses'!$C$11</f>
        <v/>
      </c>
      <c r="C28" s="45">
        <f>D27*'Hypothèses'!$C$33</f>
        <v/>
      </c>
      <c r="D28" s="46">
        <f>D27-C28+B28</f>
        <v/>
      </c>
      <c r="E28" s="47">
        <f>B28*'Paramètres'!$C$8</f>
        <v/>
      </c>
      <c r="F28" s="48">
        <f>D28*'Paramètres'!$C$7</f>
        <v/>
      </c>
      <c r="G28" s="47">
        <f>E28+F28</f>
        <v/>
      </c>
      <c r="H28" s="47">
        <f>F28*'Paramètres'!$C$37</f>
        <v/>
      </c>
      <c r="I28" s="47">
        <f>E28*'Paramètres'!$C$37</f>
        <v/>
      </c>
      <c r="J28" s="47">
        <f>G28*'Paramètres'!$C$37</f>
        <v/>
      </c>
      <c r="K28" s="47">
        <f>'Hypothèses'!$C$43</f>
        <v/>
      </c>
      <c r="L28" s="49">
        <f>J28+K28</f>
        <v/>
      </c>
      <c r="M28" s="47">
        <f>L28-'Paramètres'!$C$38</f>
        <v/>
      </c>
      <c r="N28" s="47">
        <f>N27+G28</f>
        <v/>
      </c>
      <c r="O28" s="47">
        <f>O27+M28</f>
        <v/>
      </c>
      <c r="P28" s="50">
        <f>IF(G28=0,0,F28/G28)</f>
        <v/>
      </c>
      <c r="Q28" s="46">
        <f>'Hypothèses'!$C$22</f>
        <v/>
      </c>
      <c r="R28" s="45">
        <f>'Hypothèses'!$C$23</f>
        <v/>
      </c>
    </row>
    <row r="29">
      <c r="A29" s="51">
        <f>EDATE(A28,1)</f>
        <v/>
      </c>
      <c r="B29" s="52">
        <f>'Hypothèses'!$C$11</f>
        <v/>
      </c>
      <c r="C29" s="52">
        <f>D28*'Hypothèses'!$C$33</f>
        <v/>
      </c>
      <c r="D29" s="53">
        <f>D28-C29+B29</f>
        <v/>
      </c>
      <c r="E29" s="54">
        <f>B29*'Paramètres'!$C$8</f>
        <v/>
      </c>
      <c r="F29" s="55">
        <f>D29*'Paramètres'!$C$7</f>
        <v/>
      </c>
      <c r="G29" s="54">
        <f>E29+F29</f>
        <v/>
      </c>
      <c r="H29" s="54">
        <f>F29*'Paramètres'!$C$37</f>
        <v/>
      </c>
      <c r="I29" s="54">
        <f>E29*'Paramètres'!$C$37</f>
        <v/>
      </c>
      <c r="J29" s="54">
        <f>G29*'Paramètres'!$C$37</f>
        <v/>
      </c>
      <c r="K29" s="54">
        <f>'Hypothèses'!$C$43</f>
        <v/>
      </c>
      <c r="L29" s="56">
        <f>J29+K29</f>
        <v/>
      </c>
      <c r="M29" s="54">
        <f>L29-'Paramètres'!$C$38</f>
        <v/>
      </c>
      <c r="N29" s="54">
        <f>N28+G29</f>
        <v/>
      </c>
      <c r="O29" s="54">
        <f>O28+M29</f>
        <v/>
      </c>
      <c r="P29" s="57">
        <f>IF(G29=0,0,F29/G29)</f>
        <v/>
      </c>
      <c r="Q29" s="53">
        <f>'Hypothèses'!$C$22</f>
        <v/>
      </c>
      <c r="R29" s="52">
        <f>'Hypothèses'!$C$23</f>
        <v/>
      </c>
    </row>
    <row r="30">
      <c r="A30" s="44">
        <f>EDATE(A29,1)</f>
        <v/>
      </c>
      <c r="B30" s="45">
        <f>'Hypothèses'!$C$11</f>
        <v/>
      </c>
      <c r="C30" s="45">
        <f>D29*'Hypothèses'!$C$33</f>
        <v/>
      </c>
      <c r="D30" s="46">
        <f>D29-C30+B30</f>
        <v/>
      </c>
      <c r="E30" s="47">
        <f>B30*'Paramètres'!$C$8</f>
        <v/>
      </c>
      <c r="F30" s="48">
        <f>D30*'Paramètres'!$C$7</f>
        <v/>
      </c>
      <c r="G30" s="47">
        <f>E30+F30</f>
        <v/>
      </c>
      <c r="H30" s="47">
        <f>F30*'Paramètres'!$C$37</f>
        <v/>
      </c>
      <c r="I30" s="47">
        <f>E30*'Paramètres'!$C$37</f>
        <v/>
      </c>
      <c r="J30" s="47">
        <f>G30*'Paramètres'!$C$37</f>
        <v/>
      </c>
      <c r="K30" s="47">
        <f>'Hypothèses'!$C$43</f>
        <v/>
      </c>
      <c r="L30" s="49">
        <f>J30+K30</f>
        <v/>
      </c>
      <c r="M30" s="47">
        <f>L30-'Paramètres'!$C$38</f>
        <v/>
      </c>
      <c r="N30" s="47">
        <f>N29+G30</f>
        <v/>
      </c>
      <c r="O30" s="47">
        <f>O29+M30</f>
        <v/>
      </c>
      <c r="P30" s="50">
        <f>IF(G30=0,0,F30/G30)</f>
        <v/>
      </c>
      <c r="Q30" s="46">
        <f>'Hypothèses'!$C$22</f>
        <v/>
      </c>
      <c r="R30" s="45">
        <f>'Hypothèses'!$C$23</f>
        <v/>
      </c>
    </row>
    <row r="31">
      <c r="A31" s="51">
        <f>EDATE(A30,1)</f>
        <v/>
      </c>
      <c r="B31" s="52">
        <f>'Hypothèses'!$C$11</f>
        <v/>
      </c>
      <c r="C31" s="52">
        <f>D30*'Hypothèses'!$C$33</f>
        <v/>
      </c>
      <c r="D31" s="53">
        <f>D30-C31+B31</f>
        <v/>
      </c>
      <c r="E31" s="54">
        <f>B31*'Paramètres'!$C$8</f>
        <v/>
      </c>
      <c r="F31" s="55">
        <f>D31*'Paramètres'!$C$7</f>
        <v/>
      </c>
      <c r="G31" s="54">
        <f>E31+F31</f>
        <v/>
      </c>
      <c r="H31" s="54">
        <f>F31*'Paramètres'!$C$37</f>
        <v/>
      </c>
      <c r="I31" s="54">
        <f>E31*'Paramètres'!$C$37</f>
        <v/>
      </c>
      <c r="J31" s="54">
        <f>G31*'Paramètres'!$C$37</f>
        <v/>
      </c>
      <c r="K31" s="54">
        <f>'Hypothèses'!$C$43</f>
        <v/>
      </c>
      <c r="L31" s="56">
        <f>J31+K31</f>
        <v/>
      </c>
      <c r="M31" s="54">
        <f>L31-'Paramètres'!$C$38</f>
        <v/>
      </c>
      <c r="N31" s="54">
        <f>N30+G31</f>
        <v/>
      </c>
      <c r="O31" s="54">
        <f>O30+M31</f>
        <v/>
      </c>
      <c r="P31" s="57">
        <f>IF(G31=0,0,F31/G31)</f>
        <v/>
      </c>
      <c r="Q31" s="53">
        <f>'Hypothèses'!$C$22</f>
        <v/>
      </c>
      <c r="R31" s="52">
        <f>'Hypothèses'!$C$23</f>
        <v/>
      </c>
    </row>
    <row r="32">
      <c r="A32" s="44">
        <f>EDATE(A31,1)</f>
        <v/>
      </c>
      <c r="B32" s="45">
        <f>'Hypothèses'!$C$11</f>
        <v/>
      </c>
      <c r="C32" s="45">
        <f>D31*'Hypothèses'!$C$33</f>
        <v/>
      </c>
      <c r="D32" s="46">
        <f>D31-C32+B32</f>
        <v/>
      </c>
      <c r="E32" s="47">
        <f>B32*'Paramètres'!$C$8</f>
        <v/>
      </c>
      <c r="F32" s="48">
        <f>D32*'Paramètres'!$C$7</f>
        <v/>
      </c>
      <c r="G32" s="47">
        <f>E32+F32</f>
        <v/>
      </c>
      <c r="H32" s="47">
        <f>F32*'Paramètres'!$C$37</f>
        <v/>
      </c>
      <c r="I32" s="47">
        <f>E32*'Paramètres'!$C$37</f>
        <v/>
      </c>
      <c r="J32" s="47">
        <f>G32*'Paramètres'!$C$37</f>
        <v/>
      </c>
      <c r="K32" s="47">
        <f>'Hypothèses'!$C$43</f>
        <v/>
      </c>
      <c r="L32" s="49">
        <f>J32+K32</f>
        <v/>
      </c>
      <c r="M32" s="47">
        <f>L32-'Paramètres'!$C$38</f>
        <v/>
      </c>
      <c r="N32" s="47">
        <f>N31+G32</f>
        <v/>
      </c>
      <c r="O32" s="47">
        <f>O31+M32</f>
        <v/>
      </c>
      <c r="P32" s="50">
        <f>IF(G32=0,0,F32/G32)</f>
        <v/>
      </c>
      <c r="Q32" s="46">
        <f>'Hypothèses'!$C$22</f>
        <v/>
      </c>
      <c r="R32" s="45">
        <f>'Hypothèses'!$C$23</f>
        <v/>
      </c>
    </row>
    <row r="33">
      <c r="A33" s="51">
        <f>EDATE(A32,1)</f>
        <v/>
      </c>
      <c r="B33" s="52">
        <f>'Hypothèses'!$C$11</f>
        <v/>
      </c>
      <c r="C33" s="52">
        <f>D32*'Hypothèses'!$C$33</f>
        <v/>
      </c>
      <c r="D33" s="53">
        <f>D32-C33+B33</f>
        <v/>
      </c>
      <c r="E33" s="54">
        <f>B33*'Paramètres'!$C$8</f>
        <v/>
      </c>
      <c r="F33" s="55">
        <f>D33*'Paramètres'!$C$7</f>
        <v/>
      </c>
      <c r="G33" s="54">
        <f>E33+F33</f>
        <v/>
      </c>
      <c r="H33" s="54">
        <f>F33*'Paramètres'!$C$37</f>
        <v/>
      </c>
      <c r="I33" s="54">
        <f>E33*'Paramètres'!$C$37</f>
        <v/>
      </c>
      <c r="J33" s="54">
        <f>G33*'Paramètres'!$C$37</f>
        <v/>
      </c>
      <c r="K33" s="54">
        <f>'Hypothèses'!$C$43</f>
        <v/>
      </c>
      <c r="L33" s="56">
        <f>J33+K33</f>
        <v/>
      </c>
      <c r="M33" s="54">
        <f>L33-'Paramètres'!$C$38</f>
        <v/>
      </c>
      <c r="N33" s="54">
        <f>N32+G33</f>
        <v/>
      </c>
      <c r="O33" s="54">
        <f>O32+M33</f>
        <v/>
      </c>
      <c r="P33" s="57">
        <f>IF(G33=0,0,F33/G33)</f>
        <v/>
      </c>
      <c r="Q33" s="53">
        <f>'Hypothèses'!$C$22</f>
        <v/>
      </c>
      <c r="R33" s="52">
        <f>'Hypothèses'!$C$23</f>
        <v/>
      </c>
    </row>
    <row r="34">
      <c r="A34" s="44">
        <f>EDATE(A33,1)</f>
        <v/>
      </c>
      <c r="B34" s="45">
        <f>'Hypothèses'!$C$11</f>
        <v/>
      </c>
      <c r="C34" s="45">
        <f>D33*'Hypothèses'!$C$33</f>
        <v/>
      </c>
      <c r="D34" s="46">
        <f>D33-C34+B34</f>
        <v/>
      </c>
      <c r="E34" s="47">
        <f>B34*'Paramètres'!$C$8</f>
        <v/>
      </c>
      <c r="F34" s="48">
        <f>D34*'Paramètres'!$C$7</f>
        <v/>
      </c>
      <c r="G34" s="47">
        <f>E34+F34</f>
        <v/>
      </c>
      <c r="H34" s="47">
        <f>F34*'Paramètres'!$C$37</f>
        <v/>
      </c>
      <c r="I34" s="47">
        <f>E34*'Paramètres'!$C$37</f>
        <v/>
      </c>
      <c r="J34" s="47">
        <f>G34*'Paramètres'!$C$37</f>
        <v/>
      </c>
      <c r="K34" s="47">
        <f>'Hypothèses'!$C$43</f>
        <v/>
      </c>
      <c r="L34" s="49">
        <f>J34+K34</f>
        <v/>
      </c>
      <c r="M34" s="47">
        <f>L34-'Paramètres'!$C$38</f>
        <v/>
      </c>
      <c r="N34" s="47">
        <f>N33+G34</f>
        <v/>
      </c>
      <c r="O34" s="47">
        <f>O33+M34</f>
        <v/>
      </c>
      <c r="P34" s="50">
        <f>IF(G34=0,0,F34/G34)</f>
        <v/>
      </c>
      <c r="Q34" s="46">
        <f>'Hypothèses'!$C$22</f>
        <v/>
      </c>
      <c r="R34" s="45">
        <f>'Hypothèses'!$C$23</f>
        <v/>
      </c>
    </row>
    <row r="35">
      <c r="A35" s="51">
        <f>EDATE(A34,1)</f>
        <v/>
      </c>
      <c r="B35" s="52">
        <f>'Hypothèses'!$C$11</f>
        <v/>
      </c>
      <c r="C35" s="52">
        <f>D34*'Hypothèses'!$C$33</f>
        <v/>
      </c>
      <c r="D35" s="53">
        <f>D34-C35+B35</f>
        <v/>
      </c>
      <c r="E35" s="54">
        <f>B35*'Paramètres'!$C$8</f>
        <v/>
      </c>
      <c r="F35" s="55">
        <f>D35*'Paramètres'!$C$7</f>
        <v/>
      </c>
      <c r="G35" s="54">
        <f>E35+F35</f>
        <v/>
      </c>
      <c r="H35" s="54">
        <f>F35*'Paramètres'!$C$37</f>
        <v/>
      </c>
      <c r="I35" s="54">
        <f>E35*'Paramètres'!$C$37</f>
        <v/>
      </c>
      <c r="J35" s="54">
        <f>G35*'Paramètres'!$C$37</f>
        <v/>
      </c>
      <c r="K35" s="54">
        <f>'Hypothèses'!$C$43</f>
        <v/>
      </c>
      <c r="L35" s="56">
        <f>J35+K35</f>
        <v/>
      </c>
      <c r="M35" s="54">
        <f>L35-'Paramètres'!$C$38</f>
        <v/>
      </c>
      <c r="N35" s="54">
        <f>N34+G35</f>
        <v/>
      </c>
      <c r="O35" s="54">
        <f>O34+M35</f>
        <v/>
      </c>
      <c r="P35" s="57">
        <f>IF(G35=0,0,F35/G35)</f>
        <v/>
      </c>
      <c r="Q35" s="53">
        <f>'Hypothèses'!$C$22</f>
        <v/>
      </c>
      <c r="R35" s="52">
        <f>'Hypothèses'!$C$23</f>
        <v/>
      </c>
    </row>
    <row r="36">
      <c r="A36" s="44">
        <f>EDATE(A35,1)</f>
        <v/>
      </c>
      <c r="B36" s="45">
        <f>'Hypothèses'!$C$11</f>
        <v/>
      </c>
      <c r="C36" s="45">
        <f>D35*'Hypothèses'!$C$33</f>
        <v/>
      </c>
      <c r="D36" s="46">
        <f>D35-C36+B36</f>
        <v/>
      </c>
      <c r="E36" s="47">
        <f>B36*'Paramètres'!$C$8</f>
        <v/>
      </c>
      <c r="F36" s="48">
        <f>D36*'Paramètres'!$C$7</f>
        <v/>
      </c>
      <c r="G36" s="47">
        <f>E36+F36</f>
        <v/>
      </c>
      <c r="H36" s="47">
        <f>F36*'Paramètres'!$C$37</f>
        <v/>
      </c>
      <c r="I36" s="47">
        <f>E36*'Paramètres'!$C$37</f>
        <v/>
      </c>
      <c r="J36" s="47">
        <f>G36*'Paramètres'!$C$37</f>
        <v/>
      </c>
      <c r="K36" s="47">
        <f>'Hypothèses'!$C$43</f>
        <v/>
      </c>
      <c r="L36" s="49">
        <f>J36+K36</f>
        <v/>
      </c>
      <c r="M36" s="47">
        <f>L36-'Paramètres'!$C$38</f>
        <v/>
      </c>
      <c r="N36" s="47">
        <f>N35+G36</f>
        <v/>
      </c>
      <c r="O36" s="47">
        <f>O35+M36</f>
        <v/>
      </c>
      <c r="P36" s="50">
        <f>IF(G36=0,0,F36/G36)</f>
        <v/>
      </c>
      <c r="Q36" s="46">
        <f>'Hypothèses'!$C$22</f>
        <v/>
      </c>
      <c r="R36" s="45">
        <f>'Hypothèses'!$C$23</f>
        <v/>
      </c>
    </row>
    <row r="37">
      <c r="A37" s="51">
        <f>EDATE(A36,1)</f>
        <v/>
      </c>
      <c r="B37" s="52">
        <f>'Hypothèses'!$C$11</f>
        <v/>
      </c>
      <c r="C37" s="52">
        <f>D36*'Hypothèses'!$C$33</f>
        <v/>
      </c>
      <c r="D37" s="53">
        <f>D36-C37+B37</f>
        <v/>
      </c>
      <c r="E37" s="54">
        <f>B37*'Paramètres'!$C$8</f>
        <v/>
      </c>
      <c r="F37" s="55">
        <f>D37*'Paramètres'!$C$7</f>
        <v/>
      </c>
      <c r="G37" s="54">
        <f>E37+F37</f>
        <v/>
      </c>
      <c r="H37" s="54">
        <f>F37*'Paramètres'!$C$37</f>
        <v/>
      </c>
      <c r="I37" s="54">
        <f>E37*'Paramètres'!$C$37</f>
        <v/>
      </c>
      <c r="J37" s="54">
        <f>G37*'Paramètres'!$C$37</f>
        <v/>
      </c>
      <c r="K37" s="54">
        <f>'Hypothèses'!$C$43</f>
        <v/>
      </c>
      <c r="L37" s="56">
        <f>J37+K37</f>
        <v/>
      </c>
      <c r="M37" s="54">
        <f>L37-'Paramètres'!$C$38</f>
        <v/>
      </c>
      <c r="N37" s="54">
        <f>N36+G37</f>
        <v/>
      </c>
      <c r="O37" s="54">
        <f>O36+M37</f>
        <v/>
      </c>
      <c r="P37" s="57">
        <f>IF(G37=0,0,F37/G37)</f>
        <v/>
      </c>
      <c r="Q37" s="53">
        <f>'Hypothèses'!$C$22</f>
        <v/>
      </c>
      <c r="R37" s="52">
        <f>'Hypothèses'!$C$23</f>
        <v/>
      </c>
    </row>
    <row r="38">
      <c r="A38" s="44">
        <f>EDATE(A37,1)</f>
        <v/>
      </c>
      <c r="B38" s="45">
        <f>'Hypothèses'!$C$11</f>
        <v/>
      </c>
      <c r="C38" s="45">
        <f>D37*'Hypothèses'!$C$33</f>
        <v/>
      </c>
      <c r="D38" s="46">
        <f>D37-C38+B38</f>
        <v/>
      </c>
      <c r="E38" s="47">
        <f>B38*'Paramètres'!$C$8</f>
        <v/>
      </c>
      <c r="F38" s="48">
        <f>D38*'Paramètres'!$C$7</f>
        <v/>
      </c>
      <c r="G38" s="47">
        <f>E38+F38</f>
        <v/>
      </c>
      <c r="H38" s="47">
        <f>F38*'Paramètres'!$C$37</f>
        <v/>
      </c>
      <c r="I38" s="47">
        <f>E38*'Paramètres'!$C$37</f>
        <v/>
      </c>
      <c r="J38" s="47">
        <f>G38*'Paramètres'!$C$37</f>
        <v/>
      </c>
      <c r="K38" s="47">
        <f>'Hypothèses'!$C$43</f>
        <v/>
      </c>
      <c r="L38" s="49">
        <f>J38+K38</f>
        <v/>
      </c>
      <c r="M38" s="47">
        <f>L38-'Paramètres'!$C$38</f>
        <v/>
      </c>
      <c r="N38" s="47">
        <f>N37+G38</f>
        <v/>
      </c>
      <c r="O38" s="47">
        <f>O37+M38</f>
        <v/>
      </c>
      <c r="P38" s="50">
        <f>IF(G38=0,0,F38/G38)</f>
        <v/>
      </c>
      <c r="Q38" s="46">
        <f>'Hypothèses'!$C$22</f>
        <v/>
      </c>
      <c r="R38" s="45">
        <f>'Hypothèses'!$C$23</f>
        <v/>
      </c>
    </row>
    <row r="39">
      <c r="A39" s="51">
        <f>EDATE(A38,1)</f>
        <v/>
      </c>
      <c r="B39" s="52">
        <f>'Hypothèses'!$C$11</f>
        <v/>
      </c>
      <c r="C39" s="52">
        <f>D38*'Hypothèses'!$C$33</f>
        <v/>
      </c>
      <c r="D39" s="53">
        <f>D38-C39+B39</f>
        <v/>
      </c>
      <c r="E39" s="54">
        <f>B39*'Paramètres'!$C$8</f>
        <v/>
      </c>
      <c r="F39" s="55">
        <f>D39*'Paramètres'!$C$7</f>
        <v/>
      </c>
      <c r="G39" s="54">
        <f>E39+F39</f>
        <v/>
      </c>
      <c r="H39" s="54">
        <f>F39*'Paramètres'!$C$37</f>
        <v/>
      </c>
      <c r="I39" s="54">
        <f>E39*'Paramètres'!$C$37</f>
        <v/>
      </c>
      <c r="J39" s="54">
        <f>G39*'Paramètres'!$C$37</f>
        <v/>
      </c>
      <c r="K39" s="54">
        <f>'Hypothèses'!$C$43</f>
        <v/>
      </c>
      <c r="L39" s="56">
        <f>J39+K39</f>
        <v/>
      </c>
      <c r="M39" s="54">
        <f>L39-'Paramètres'!$C$38</f>
        <v/>
      </c>
      <c r="N39" s="54">
        <f>N38+G39</f>
        <v/>
      </c>
      <c r="O39" s="54">
        <f>O38+M39</f>
        <v/>
      </c>
      <c r="P39" s="57">
        <f>IF(G39=0,0,F39/G39)</f>
        <v/>
      </c>
      <c r="Q39" s="53">
        <f>'Hypothèses'!$C$22</f>
        <v/>
      </c>
      <c r="R39" s="52">
        <f>'Hypothèses'!$C$23</f>
        <v/>
      </c>
    </row>
    <row r="40">
      <c r="A40" s="44">
        <f>EDATE(A39,1)</f>
        <v/>
      </c>
      <c r="B40" s="45">
        <f>'Hypothèses'!$C$11</f>
        <v/>
      </c>
      <c r="C40" s="45">
        <f>D39*'Hypothèses'!$C$33</f>
        <v/>
      </c>
      <c r="D40" s="46">
        <f>D39-C40+B40</f>
        <v/>
      </c>
      <c r="E40" s="47">
        <f>B40*'Paramètres'!$C$8</f>
        <v/>
      </c>
      <c r="F40" s="48">
        <f>D40*'Paramètres'!$C$7</f>
        <v/>
      </c>
      <c r="G40" s="47">
        <f>E40+F40</f>
        <v/>
      </c>
      <c r="H40" s="47">
        <f>F40*'Paramètres'!$C$37</f>
        <v/>
      </c>
      <c r="I40" s="47">
        <f>E40*'Paramètres'!$C$37</f>
        <v/>
      </c>
      <c r="J40" s="47">
        <f>G40*'Paramètres'!$C$37</f>
        <v/>
      </c>
      <c r="K40" s="47">
        <f>'Hypothèses'!$C$43</f>
        <v/>
      </c>
      <c r="L40" s="49">
        <f>J40+K40</f>
        <v/>
      </c>
      <c r="M40" s="47">
        <f>L40-'Paramètres'!$C$38</f>
        <v/>
      </c>
      <c r="N40" s="47">
        <f>N39+G40</f>
        <v/>
      </c>
      <c r="O40" s="47">
        <f>O39+M40</f>
        <v/>
      </c>
      <c r="P40" s="50">
        <f>IF(G40=0,0,F40/G40)</f>
        <v/>
      </c>
      <c r="Q40" s="46">
        <f>'Hypothèses'!$C$22</f>
        <v/>
      </c>
      <c r="R40" s="45">
        <f>'Hypothèses'!$C$23</f>
        <v/>
      </c>
    </row>
    <row r="41">
      <c r="A41" s="58" t="inlineStr">
        <is>
          <t>Total 37 mois</t>
        </is>
      </c>
      <c r="B41" s="59">
        <f>SUM(B4:B40)</f>
        <v/>
      </c>
      <c r="C41" s="59">
        <f>SUM(C4:C40)</f>
        <v/>
      </c>
      <c r="D41" s="60">
        <f>D40</f>
        <v/>
      </c>
      <c r="E41" s="61">
        <f>SUM(E4:E40)</f>
        <v/>
      </c>
      <c r="F41" s="61">
        <f>SUM(F4:F40)</f>
        <v/>
      </c>
      <c r="G41" s="61">
        <f>SUM(G4:G40)</f>
        <v/>
      </c>
      <c r="H41" s="61">
        <f>SUM(H4:H40)</f>
        <v/>
      </c>
      <c r="I41" s="61">
        <f>SUM(I4:I40)</f>
        <v/>
      </c>
      <c r="J41" s="61">
        <f>SUM(J4:J40)</f>
        <v/>
      </c>
      <c r="K41" s="61">
        <f>SUM(K4:K40)</f>
        <v/>
      </c>
      <c r="L41" s="61">
        <f>SUM(L4:L40)</f>
        <v/>
      </c>
      <c r="M41" s="61">
        <f>SUM(M4:M40)</f>
        <v/>
      </c>
      <c r="N41" s="61" t="n"/>
      <c r="O41" s="61" t="n"/>
      <c r="P41" s="62" t="n"/>
      <c r="Q41" s="60" t="n"/>
      <c r="R41" s="59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5E5CE6"/>
    <outlinePr summaryBelow="1" summaryRight="1"/>
    <pageSetUpPr/>
  </sheetPr>
  <dimension ref="A1:P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5" customWidth="1" min="3" max="3"/>
    <col width="15" customWidth="1" min="4" max="4"/>
    <col width="14" customWidth="1" min="5" max="5"/>
    <col width="11" customWidth="1" min="6" max="6"/>
    <col width="15" customWidth="1" min="7" max="7"/>
    <col width="14" customWidth="1" min="8" max="8"/>
    <col width="16" customWidth="1" min="9" max="9"/>
    <col width="13" customWidth="1" min="10" max="10"/>
    <col width="13" customWidth="1" min="11" max="11"/>
    <col width="12" customWidth="1" min="12" max="12"/>
    <col width="13" customWidth="1" min="13" max="13"/>
    <col width="11" customWidth="1" min="14" max="14"/>
    <col width="11" customWidth="1" min="15" max="15"/>
    <col width="12" customWidth="1" min="16" max="16"/>
  </cols>
  <sheetData>
    <row r="1">
      <c r="A1" s="6" t="inlineStr">
        <is>
          <t>Synthèse par exercice</t>
        </is>
      </c>
    </row>
    <row r="2">
      <c r="A2" s="7" t="inlineStr">
        <is>
          <t>Agrégats calculés par année civile sur la feuille MRR mensuel.</t>
        </is>
      </c>
    </row>
    <row r="4" ht="30" customHeight="1">
      <c r="A4" s="43" t="inlineStr">
        <is>
          <t>Exercice</t>
        </is>
      </c>
      <c r="B4" s="43" t="inlineStr">
        <is>
          <t>Mois</t>
        </is>
      </c>
      <c r="C4" s="43" t="inlineStr">
        <is>
          <t>CA déploiement</t>
        </is>
      </c>
      <c r="D4" s="43" t="inlineStr">
        <is>
          <t>CA abonnements</t>
        </is>
      </c>
      <c r="E4" s="43" t="inlineStr">
        <is>
          <t>CA total</t>
        </is>
      </c>
      <c r="F4" s="43" t="inlineStr">
        <is>
          <t>Part MRR</t>
        </is>
      </c>
      <c r="G4" s="43" t="inlineStr">
        <is>
          <t>Net consultant</t>
        </is>
      </c>
      <c r="H4" s="43" t="inlineStr">
        <is>
          <t>Salaire net IR</t>
        </is>
      </c>
      <c r="I4" s="43" t="inlineStr">
        <is>
          <t>Revenu total net</t>
        </is>
      </c>
      <c r="J4" s="43" t="inlineStr">
        <is>
          <t>Dépenses</t>
        </is>
      </c>
      <c r="K4" s="43" t="inlineStr">
        <is>
          <t>Épargne</t>
        </is>
      </c>
      <c r="L4" s="43" t="inlineStr">
        <is>
          <t>Clients fin</t>
        </is>
      </c>
      <c r="M4" s="43" t="inlineStr">
        <is>
          <t>MRR fin</t>
        </is>
      </c>
      <c r="N4" s="43" t="inlineStr">
        <is>
          <t>Heures</t>
        </is>
      </c>
      <c r="O4" s="43" t="inlineStr">
        <is>
          <t>€/h net</t>
        </is>
      </c>
      <c r="P4" s="43" t="inlineStr">
        <is>
          <t>€/jour</t>
        </is>
      </c>
    </row>
    <row r="5">
      <c r="A5" s="38">
        <f>'Paramètres'!$C$42</f>
        <v/>
      </c>
      <c r="B5" s="63">
        <f>SUMPRODUCT(--(YEAR('MRR mensuel'!$A$4:$A$40)=$A5))</f>
        <v/>
      </c>
      <c r="C5" s="47">
        <f>SUMPRODUCT((YEAR('MRR mensuel'!$A$4:$A$40)=$A5)*'MRR mensuel'!$E$4:$E$40)</f>
        <v/>
      </c>
      <c r="D5" s="47">
        <f>SUMPRODUCT((YEAR('MRR mensuel'!$A$4:$A$40)=$A5)*'MRR mensuel'!$F$4:$F$40)</f>
        <v/>
      </c>
      <c r="E5" s="64">
        <f>C5+D5</f>
        <v/>
      </c>
      <c r="F5" s="50">
        <f>IF(E5=0,0,D5/E5)</f>
        <v/>
      </c>
      <c r="G5" s="47">
        <f>SUMPRODUCT((YEAR('MRR mensuel'!$A$4:$A$40)=$A5)*'MRR mensuel'!$J$4:$J$40)</f>
        <v/>
      </c>
      <c r="H5" s="47">
        <f>SUMPRODUCT((YEAR('MRR mensuel'!$A$4:$A$40)=$A5)*'MRR mensuel'!$K$4:$K$40)</f>
        <v/>
      </c>
      <c r="I5" s="65">
        <f>G5+H5</f>
        <v/>
      </c>
      <c r="J5" s="47">
        <f>B5*'Paramètres'!$C$38</f>
        <v/>
      </c>
      <c r="K5" s="47">
        <f>I5-J5</f>
        <v/>
      </c>
      <c r="L5" s="46">
        <f>IFERROR(LOOKUP(2,1/(YEAR('MRR mensuel'!$A$4:$A$40)=$A5),'MRR mensuel'!$D$4:$D$40),0)</f>
        <v/>
      </c>
      <c r="M5" s="47">
        <f>IFERROR(LOOKUP(2,1/(YEAR('MRR mensuel'!$A$4:$A$40)=$A5),'MRR mensuel'!$F$4:$F$40),0)</f>
        <v/>
      </c>
      <c r="N5" s="66">
        <f>'Hypothèses'!$C$20*B5/12</f>
        <v/>
      </c>
      <c r="O5" s="67">
        <f>IF(N5=0,0,G5/N5)</f>
        <v/>
      </c>
      <c r="P5" s="67">
        <f>IF(B5=0,0,I5/('Paramètres'!$C$21*B5/12))</f>
        <v/>
      </c>
    </row>
    <row r="6">
      <c r="A6" s="68">
        <f>'Paramètres'!$C$42+1</f>
        <v/>
      </c>
      <c r="B6" s="69">
        <f>SUMPRODUCT(--(YEAR('MRR mensuel'!$A$4:$A$40)=$A6))</f>
        <v/>
      </c>
      <c r="C6" s="54">
        <f>SUMPRODUCT((YEAR('MRR mensuel'!$A$4:$A$40)=$A6)*'MRR mensuel'!$E$4:$E$40)</f>
        <v/>
      </c>
      <c r="D6" s="54">
        <f>SUMPRODUCT((YEAR('MRR mensuel'!$A$4:$A$40)=$A6)*'MRR mensuel'!$F$4:$F$40)</f>
        <v/>
      </c>
      <c r="E6" s="70">
        <f>C6+D6</f>
        <v/>
      </c>
      <c r="F6" s="57">
        <f>IF(E6=0,0,D6/E6)</f>
        <v/>
      </c>
      <c r="G6" s="54">
        <f>SUMPRODUCT((YEAR('MRR mensuel'!$A$4:$A$40)=$A6)*'MRR mensuel'!$J$4:$J$40)</f>
        <v/>
      </c>
      <c r="H6" s="54">
        <f>SUMPRODUCT((YEAR('MRR mensuel'!$A$4:$A$40)=$A6)*'MRR mensuel'!$K$4:$K$40)</f>
        <v/>
      </c>
      <c r="I6" s="71">
        <f>G6+H6</f>
        <v/>
      </c>
      <c r="J6" s="54">
        <f>B6*'Paramètres'!$C$38</f>
        <v/>
      </c>
      <c r="K6" s="54">
        <f>I6-J6</f>
        <v/>
      </c>
      <c r="L6" s="53">
        <f>IFERROR(LOOKUP(2,1/(YEAR('MRR mensuel'!$A$4:$A$40)=$A6),'MRR mensuel'!$D$4:$D$40),0)</f>
        <v/>
      </c>
      <c r="M6" s="54">
        <f>IFERROR(LOOKUP(2,1/(YEAR('MRR mensuel'!$A$4:$A$40)=$A6),'MRR mensuel'!$F$4:$F$40),0)</f>
        <v/>
      </c>
      <c r="N6" s="72">
        <f>'Hypothèses'!$C$20*B6/12</f>
        <v/>
      </c>
      <c r="O6" s="73">
        <f>IF(N6=0,0,G6/N6)</f>
        <v/>
      </c>
      <c r="P6" s="73">
        <f>IF(B6=0,0,I6/('Paramètres'!$C$21*B6/12))</f>
        <v/>
      </c>
    </row>
    <row r="7">
      <c r="A7" s="38">
        <f>'Paramètres'!$C$42+2</f>
        <v/>
      </c>
      <c r="B7" s="63">
        <f>SUMPRODUCT(--(YEAR('MRR mensuel'!$A$4:$A$40)=$A7))</f>
        <v/>
      </c>
      <c r="C7" s="47">
        <f>SUMPRODUCT((YEAR('MRR mensuel'!$A$4:$A$40)=$A7)*'MRR mensuel'!$E$4:$E$40)</f>
        <v/>
      </c>
      <c r="D7" s="47">
        <f>SUMPRODUCT((YEAR('MRR mensuel'!$A$4:$A$40)=$A7)*'MRR mensuel'!$F$4:$F$40)</f>
        <v/>
      </c>
      <c r="E7" s="64">
        <f>C7+D7</f>
        <v/>
      </c>
      <c r="F7" s="50">
        <f>IF(E7=0,0,D7/E7)</f>
        <v/>
      </c>
      <c r="G7" s="47">
        <f>SUMPRODUCT((YEAR('MRR mensuel'!$A$4:$A$40)=$A7)*'MRR mensuel'!$J$4:$J$40)</f>
        <v/>
      </c>
      <c r="H7" s="47">
        <f>SUMPRODUCT((YEAR('MRR mensuel'!$A$4:$A$40)=$A7)*'MRR mensuel'!$K$4:$K$40)</f>
        <v/>
      </c>
      <c r="I7" s="65">
        <f>G7+H7</f>
        <v/>
      </c>
      <c r="J7" s="47">
        <f>B7*'Paramètres'!$C$38</f>
        <v/>
      </c>
      <c r="K7" s="47">
        <f>I7-J7</f>
        <v/>
      </c>
      <c r="L7" s="46">
        <f>IFERROR(LOOKUP(2,1/(YEAR('MRR mensuel'!$A$4:$A$40)=$A7),'MRR mensuel'!$D$4:$D$40),0)</f>
        <v/>
      </c>
      <c r="M7" s="47">
        <f>IFERROR(LOOKUP(2,1/(YEAR('MRR mensuel'!$A$4:$A$40)=$A7),'MRR mensuel'!$F$4:$F$40),0)</f>
        <v/>
      </c>
      <c r="N7" s="66">
        <f>'Hypothèses'!$C$20*B7/12</f>
        <v/>
      </c>
      <c r="O7" s="67">
        <f>IF(N7=0,0,G7/N7)</f>
        <v/>
      </c>
      <c r="P7" s="67">
        <f>IF(B7=0,0,I7/('Paramètres'!$C$21*B7/12))</f>
        <v/>
      </c>
    </row>
    <row r="8">
      <c r="A8" s="68">
        <f>'Paramètres'!$C$42+3</f>
        <v/>
      </c>
      <c r="B8" s="69">
        <f>SUMPRODUCT(--(YEAR('MRR mensuel'!$A$4:$A$40)=$A8))</f>
        <v/>
      </c>
      <c r="C8" s="54">
        <f>SUMPRODUCT((YEAR('MRR mensuel'!$A$4:$A$40)=$A8)*'MRR mensuel'!$E$4:$E$40)</f>
        <v/>
      </c>
      <c r="D8" s="54">
        <f>SUMPRODUCT((YEAR('MRR mensuel'!$A$4:$A$40)=$A8)*'MRR mensuel'!$F$4:$F$40)</f>
        <v/>
      </c>
      <c r="E8" s="70">
        <f>C8+D8</f>
        <v/>
      </c>
      <c r="F8" s="57">
        <f>IF(E8=0,0,D8/E8)</f>
        <v/>
      </c>
      <c r="G8" s="54">
        <f>SUMPRODUCT((YEAR('MRR mensuel'!$A$4:$A$40)=$A8)*'MRR mensuel'!$J$4:$J$40)</f>
        <v/>
      </c>
      <c r="H8" s="54">
        <f>SUMPRODUCT((YEAR('MRR mensuel'!$A$4:$A$40)=$A8)*'MRR mensuel'!$K$4:$K$40)</f>
        <v/>
      </c>
      <c r="I8" s="71">
        <f>G8+H8</f>
        <v/>
      </c>
      <c r="J8" s="54">
        <f>B8*'Paramètres'!$C$38</f>
        <v/>
      </c>
      <c r="K8" s="54">
        <f>I8-J8</f>
        <v/>
      </c>
      <c r="L8" s="53">
        <f>IFERROR(LOOKUP(2,1/(YEAR('MRR mensuel'!$A$4:$A$40)=$A8),'MRR mensuel'!$D$4:$D$40),0)</f>
        <v/>
      </c>
      <c r="M8" s="54">
        <f>IFERROR(LOOKUP(2,1/(YEAR('MRR mensuel'!$A$4:$A$40)=$A8),'MRR mensuel'!$F$4:$F$40),0)</f>
        <v/>
      </c>
      <c r="N8" s="72">
        <f>'Hypothèses'!$C$20*B8/12</f>
        <v/>
      </c>
      <c r="O8" s="73">
        <f>IF(N8=0,0,G8/N8)</f>
        <v/>
      </c>
      <c r="P8" s="73">
        <f>IF(B8=0,0,I8/('Paramètres'!$C$21*B8/12))</f>
        <v/>
      </c>
    </row>
    <row r="9">
      <c r="A9" s="74" t="inlineStr">
        <is>
          <t>Total</t>
        </is>
      </c>
      <c r="B9" s="74">
        <f>SUM(B5:B8)</f>
        <v/>
      </c>
      <c r="C9" s="75">
        <f>SUM(C5:C8)</f>
        <v/>
      </c>
      <c r="D9" s="75">
        <f>SUM(D5:D8)</f>
        <v/>
      </c>
      <c r="E9" s="75">
        <f>SUM(E5:E8)</f>
        <v/>
      </c>
      <c r="F9" s="76">
        <f>IF(E9=0,0,D9/E9)</f>
        <v/>
      </c>
      <c r="G9" s="75">
        <f>SUM(G5:G8)</f>
        <v/>
      </c>
      <c r="H9" s="75">
        <f>SUM(H5:H8)</f>
        <v/>
      </c>
      <c r="I9" s="75">
        <f>SUM(I5:I8)</f>
        <v/>
      </c>
      <c r="J9" s="75">
        <f>SUM(J5:J8)</f>
        <v/>
      </c>
      <c r="K9" s="75">
        <f>SUM(K5:K8)</f>
        <v/>
      </c>
      <c r="L9" s="77" t="n"/>
      <c r="M9" s="75" t="n"/>
      <c r="N9" s="78">
        <f>SUM(N5:N8)</f>
        <v/>
      </c>
      <c r="O9" s="79" t="n"/>
      <c r="P9" s="79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D2D2D7"/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2" customWidth="1" min="3" max="3"/>
    <col width="15" customWidth="1" min="4" max="4"/>
    <col width="12" customWidth="1" min="5" max="5"/>
    <col width="18" customWidth="1" min="6" max="6"/>
  </cols>
  <sheetData>
    <row r="2">
      <c r="B2" s="6" t="inlineStr">
        <is>
          <t>Jalons et seuils</t>
        </is>
      </c>
    </row>
    <row r="3">
      <c r="B3" s="7" t="inlineStr">
        <is>
          <t>Date de franchissement de chaque seuil, cherchée dans la feuille MRR mensuel.</t>
        </is>
      </c>
    </row>
    <row r="5">
      <c r="B5" s="30" t="inlineStr">
        <is>
          <t>Jalon</t>
        </is>
      </c>
      <c r="C5" s="30" t="inlineStr">
        <is>
          <t>Condition</t>
        </is>
      </c>
      <c r="D5" s="30" t="inlineStr">
        <is>
          <t>Date</t>
        </is>
      </c>
      <c r="E5" s="30" t="inlineStr">
        <is>
          <t>Rang</t>
        </is>
      </c>
      <c r="F5" s="30" t="inlineStr">
        <is>
          <t>MRR à cette date</t>
        </is>
      </c>
    </row>
    <row r="6">
      <c r="B6" s="10" t="inlineStr">
        <is>
          <t>Le MRR dépasse le CA de déploiement</t>
        </is>
      </c>
      <c r="C6" s="12" t="inlineStr">
        <is>
          <t>MRR ≥ CA déploiement</t>
        </is>
      </c>
      <c r="D6" s="80">
        <f>IFERROR(INDEX('MRR mensuel'!$A$4:$A$40,MATCH(TRUE,('MRR mensuel'!$F$4:$F$40&gt;='MRR mensuel'!$E$4:$E$40),0)),"hors horizon")</f>
        <v/>
      </c>
      <c r="E6" s="81">
        <f>IFERROR("M+"&amp;MATCH(TRUE,('MRR mensuel'!$F$4:$F$40&gt;='MRR mensuel'!$E$4:$E$40),0),"—")</f>
        <v/>
      </c>
      <c r="F6" s="33">
        <f>IFERROR(INDEX('MRR mensuel'!$F$4:$F$40,MATCH(TRUE,('MRR mensuel'!$F$4:$F$40&gt;='MRR mensuel'!$E$4:$E$40),0)),"—")</f>
        <v/>
      </c>
    </row>
    <row r="7">
      <c r="B7" s="10" t="inlineStr">
        <is>
          <t>Le net consultant couvre les dépenses</t>
        </is>
      </c>
      <c r="C7" s="12" t="inlineStr">
        <is>
          <t>net consultant ≥ dépenses</t>
        </is>
      </c>
      <c r="D7" s="80">
        <f>IFERROR(INDEX('MRR mensuel'!$A$4:$A$40,MATCH(TRUE,('MRR mensuel'!$J$4:$J$40&gt;='Paramètres'!$C$38),0)),"hors horizon")</f>
        <v/>
      </c>
      <c r="E7" s="81">
        <f>IFERROR("M+"&amp;MATCH(TRUE,('MRR mensuel'!$J$4:$J$40&gt;='Paramètres'!$C$38),0),"—")</f>
        <v/>
      </c>
      <c r="F7" s="33">
        <f>IFERROR(INDEX('MRR mensuel'!$F$4:$F$40,MATCH(TRUE,('MRR mensuel'!$J$4:$J$40&gt;='Paramètres'!$C$38),0)),"—")</f>
        <v/>
      </c>
    </row>
    <row r="8">
      <c r="B8" s="10" t="inlineStr">
        <is>
          <t>MRR à 1 000 €/mois</t>
        </is>
      </c>
      <c r="C8" s="12" t="inlineStr">
        <is>
          <t>MRR ≥ 1 000 €</t>
        </is>
      </c>
      <c r="D8" s="80">
        <f>IFERROR(INDEX('MRR mensuel'!$A$4:$A$40,MATCH(TRUE,('MRR mensuel'!$F$4:$F$40&gt;=1000),0)),"hors horizon")</f>
        <v/>
      </c>
      <c r="E8" s="81">
        <f>IFERROR("M+"&amp;MATCH(TRUE,('MRR mensuel'!$F$4:$F$40&gt;=1000),0),"—")</f>
        <v/>
      </c>
      <c r="F8" s="33">
        <f>IFERROR(INDEX('MRR mensuel'!$F$4:$F$40,MATCH(TRUE,('MRR mensuel'!$F$4:$F$40&gt;=1000),0)),"—")</f>
        <v/>
      </c>
    </row>
    <row r="9">
      <c r="B9" s="10" t="inlineStr">
        <is>
          <t>Le net consultant égale le salaire net IR</t>
        </is>
      </c>
      <c r="C9" s="12" t="inlineStr">
        <is>
          <t>net consultant ≥ salaire net</t>
        </is>
      </c>
      <c r="D9" s="80">
        <f>IFERROR(INDEX('MRR mensuel'!$A$4:$A$40,MATCH(TRUE,('MRR mensuel'!$J$4:$J$40&gt;='Hypothèses'!$C$43),0)),"hors horizon")</f>
        <v/>
      </c>
      <c r="E9" s="81">
        <f>IFERROR("M+"&amp;MATCH(TRUE,('MRR mensuel'!$J$4:$J$40&gt;='Hypothèses'!$C$43),0),"—")</f>
        <v/>
      </c>
      <c r="F9" s="33">
        <f>IFERROR(INDEX('MRR mensuel'!$F$4:$F$40,MATCH(TRUE,('MRR mensuel'!$J$4:$J$40&gt;='Hypothèses'!$C$43),0)),"—")</f>
        <v/>
      </c>
    </row>
    <row r="10">
      <c r="B10" s="10" t="inlineStr">
        <is>
          <t>MRR à 5 000 €/mois</t>
        </is>
      </c>
      <c r="C10" s="12" t="inlineStr">
        <is>
          <t>MRR ≥ 5 000 €</t>
        </is>
      </c>
      <c r="D10" s="80">
        <f>IFERROR(INDEX('MRR mensuel'!$A$4:$A$40,MATCH(TRUE,('MRR mensuel'!$F$4:$F$40&gt;=5000),0)),"hors horizon")</f>
        <v/>
      </c>
      <c r="E10" s="81">
        <f>IFERROR("M+"&amp;MATCH(TRUE,('MRR mensuel'!$F$4:$F$40&gt;=5000),0),"—")</f>
        <v/>
      </c>
      <c r="F10" s="33">
        <f>IFERROR(INDEX('MRR mensuel'!$F$4:$F$40,MATCH(TRUE,('MRR mensuel'!$F$4:$F$40&gt;=5000),0)),"—")</f>
        <v/>
      </c>
    </row>
    <row r="11">
      <c r="B11" s="10" t="inlineStr">
        <is>
          <t>Le MRR net seul couvre les dépenses</t>
        </is>
      </c>
      <c r="C11" s="12" t="inlineStr">
        <is>
          <t>net MRR ≥ dépenses</t>
        </is>
      </c>
      <c r="D11" s="80">
        <f>IFERROR(INDEX('MRR mensuel'!$A$4:$A$40,MATCH(TRUE,('MRR mensuel'!$H$4:$H$40&gt;='Paramètres'!$C$38),0)),"hors horizon")</f>
        <v/>
      </c>
      <c r="E11" s="81">
        <f>IFERROR("M+"&amp;MATCH(TRUE,('MRR mensuel'!$H$4:$H$40&gt;='Paramètres'!$C$38),0),"—")</f>
        <v/>
      </c>
      <c r="F11" s="33">
        <f>IFERROR(INDEX('MRR mensuel'!$F$4:$F$40,MATCH(TRUE,('MRR mensuel'!$H$4:$H$40&gt;='Paramètres'!$C$38),0)),"—")</f>
        <v/>
      </c>
    </row>
    <row r="12">
      <c r="B12" s="10" t="inlineStr">
        <is>
          <t>Le revenu total double le salaire net</t>
        </is>
      </c>
      <c r="C12" s="12" t="inlineStr">
        <is>
          <t>revenu total ≥ 2 × salaire net</t>
        </is>
      </c>
      <c r="D12" s="80">
        <f>IFERROR(INDEX('MRR mensuel'!$A$4:$A$40,MATCH(TRUE,('MRR mensuel'!$L$4:$L$40&gt;=2*'Hypothèses'!$C$43),0)),"hors horizon")</f>
        <v/>
      </c>
      <c r="E12" s="81">
        <f>IFERROR("M+"&amp;MATCH(TRUE,('MRR mensuel'!$L$4:$L$40&gt;=2*'Hypothèses'!$C$43),0),"—")</f>
        <v/>
      </c>
      <c r="F12" s="33">
        <f>IFERROR(INDEX('MRR mensuel'!$F$4:$F$40,MATCH(TRUE,('MRR mensuel'!$L$4:$L$40&gt;=2*'Hypothèses'!$C$43),0)),"—")</f>
        <v/>
      </c>
    </row>
    <row r="13">
      <c r="B13" s="10" t="inlineStr">
        <is>
          <t>MRR à 10 000 €/mois</t>
        </is>
      </c>
      <c r="C13" s="12" t="inlineStr">
        <is>
          <t>MRR ≥ 10 000 €</t>
        </is>
      </c>
      <c r="D13" s="80">
        <f>IFERROR(INDEX('MRR mensuel'!$A$4:$A$40,MATCH(TRUE,('MRR mensuel'!$F$4:$F$40&gt;=10000),0)),"hors horizon")</f>
        <v/>
      </c>
      <c r="E13" s="81">
        <f>IFERROR("M+"&amp;MATCH(TRUE,('MRR mensuel'!$F$4:$F$40&gt;=10000),0),"—")</f>
        <v/>
      </c>
      <c r="F13" s="33">
        <f>IFERROR(INDEX('MRR mensuel'!$F$4:$F$40,MATCH(TRUE,('MRR mensuel'!$F$4:$F$40&gt;=10000),0)),"—")</f>
        <v/>
      </c>
    </row>
    <row r="15">
      <c r="B15" s="22" t="inlineStr">
        <is>
          <t>Les formules MATCH(TRUE;…;0) sont matricielles. Google Sheets les évalue directement ;</t>
        </is>
      </c>
    </row>
    <row r="16">
      <c r="B16" s="22" t="inlineStr">
        <is>
          <t>dans Excel, valider par Ctrl+Maj+Entrée si une version antérieure à 2021 est utilisée.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F52DE"/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6" t="inlineStr">
        <is>
          <t>Analyse de sensibilité</t>
        </is>
      </c>
    </row>
    <row r="3">
      <c r="B3" s="7" t="inlineStr">
        <is>
          <t>MRR atteint au 37ᵉ mois selon deux couples d'hypothèses.</t>
        </is>
      </c>
    </row>
    <row r="5">
      <c r="B5" s="8" t="inlineStr">
        <is>
          <t>Levier volume — diagnostics/semaine × taux de conversion</t>
        </is>
      </c>
    </row>
    <row r="6">
      <c r="B6" s="82" t="inlineStr">
        <is>
          <t>Diag. \ Conversion</t>
        </is>
      </c>
      <c r="C6" s="83" t="n">
        <v>0.2</v>
      </c>
      <c r="D6" s="83" t="n">
        <v>0.3</v>
      </c>
      <c r="E6" s="83" t="n">
        <v>0.4</v>
      </c>
      <c r="F6" s="83" t="n">
        <v>0.5</v>
      </c>
      <c r="G6" s="83" t="n">
        <v>0.6</v>
      </c>
      <c r="H6" s="83" t="n">
        <v>0.75</v>
      </c>
    </row>
    <row r="7">
      <c r="B7" s="84" t="n">
        <v>0.5</v>
      </c>
      <c r="C7" s="85">
        <f>(($B7*('Paramètres'!$C$21/5)*C$6)/12)*(1-(1-(1-'Paramètres'!$C$17^(1/12)))^37)/(1-'Paramètres'!$C$17^(1/12))*'Paramètres'!$C$7</f>
        <v/>
      </c>
      <c r="D7" s="85">
        <f>(($B7*('Paramètres'!$C$21/5)*D$6)/12)*(1-(1-(1-'Paramètres'!$C$17^(1/12)))^37)/(1-'Paramètres'!$C$17^(1/12))*'Paramètres'!$C$7</f>
        <v/>
      </c>
      <c r="E7" s="85">
        <f>(($B7*('Paramètres'!$C$21/5)*E$6)/12)*(1-(1-(1-'Paramètres'!$C$17^(1/12)))^37)/(1-'Paramètres'!$C$17^(1/12))*'Paramètres'!$C$7</f>
        <v/>
      </c>
      <c r="F7" s="85">
        <f>(($B7*('Paramètres'!$C$21/5)*F$6)/12)*(1-(1-(1-'Paramètres'!$C$17^(1/12)))^37)/(1-'Paramètres'!$C$17^(1/12))*'Paramètres'!$C$7</f>
        <v/>
      </c>
      <c r="G7" s="85">
        <f>(($B7*('Paramètres'!$C$21/5)*G$6)/12)*(1-(1-(1-'Paramètres'!$C$17^(1/12)))^37)/(1-'Paramètres'!$C$17^(1/12))*'Paramètres'!$C$7</f>
        <v/>
      </c>
      <c r="H7" s="85">
        <f>(($B7*('Paramètres'!$C$21/5)*H$6)/12)*(1-(1-(1-'Paramètres'!$C$17^(1/12)))^37)/(1-'Paramètres'!$C$17^(1/12))*'Paramètres'!$C$7</f>
        <v/>
      </c>
    </row>
    <row r="8">
      <c r="B8" s="84" t="n">
        <v>0.75</v>
      </c>
      <c r="C8" s="85">
        <f>(($B8*('Paramètres'!$C$21/5)*C$6)/12)*(1-(1-(1-'Paramètres'!$C$17^(1/12)))^37)/(1-'Paramètres'!$C$17^(1/12))*'Paramètres'!$C$7</f>
        <v/>
      </c>
      <c r="D8" s="85">
        <f>(($B8*('Paramètres'!$C$21/5)*D$6)/12)*(1-(1-(1-'Paramètres'!$C$17^(1/12)))^37)/(1-'Paramètres'!$C$17^(1/12))*'Paramètres'!$C$7</f>
        <v/>
      </c>
      <c r="E8" s="85">
        <f>(($B8*('Paramètres'!$C$21/5)*E$6)/12)*(1-(1-(1-'Paramètres'!$C$17^(1/12)))^37)/(1-'Paramètres'!$C$17^(1/12))*'Paramètres'!$C$7</f>
        <v/>
      </c>
      <c r="F8" s="85">
        <f>(($B8*('Paramètres'!$C$21/5)*F$6)/12)*(1-(1-(1-'Paramètres'!$C$17^(1/12)))^37)/(1-'Paramètres'!$C$17^(1/12))*'Paramètres'!$C$7</f>
        <v/>
      </c>
      <c r="G8" s="85">
        <f>(($B8*('Paramètres'!$C$21/5)*G$6)/12)*(1-(1-(1-'Paramètres'!$C$17^(1/12)))^37)/(1-'Paramètres'!$C$17^(1/12))*'Paramètres'!$C$7</f>
        <v/>
      </c>
      <c r="H8" s="85">
        <f>(($B8*('Paramètres'!$C$21/5)*H$6)/12)*(1-(1-(1-'Paramètres'!$C$17^(1/12)))^37)/(1-'Paramètres'!$C$17^(1/12))*'Paramètres'!$C$7</f>
        <v/>
      </c>
    </row>
    <row r="9">
      <c r="B9" s="84" t="n">
        <v>1</v>
      </c>
      <c r="C9" s="85">
        <f>(($B9*('Paramètres'!$C$21/5)*C$6)/12)*(1-(1-(1-'Paramètres'!$C$17^(1/12)))^37)/(1-'Paramètres'!$C$17^(1/12))*'Paramètres'!$C$7</f>
        <v/>
      </c>
      <c r="D9" s="85">
        <f>(($B9*('Paramètres'!$C$21/5)*D$6)/12)*(1-(1-(1-'Paramètres'!$C$17^(1/12)))^37)/(1-'Paramètres'!$C$17^(1/12))*'Paramètres'!$C$7</f>
        <v/>
      </c>
      <c r="E9" s="85">
        <f>(($B9*('Paramètres'!$C$21/5)*E$6)/12)*(1-(1-(1-'Paramètres'!$C$17^(1/12)))^37)/(1-'Paramètres'!$C$17^(1/12))*'Paramètres'!$C$7</f>
        <v/>
      </c>
      <c r="F9" s="85">
        <f>(($B9*('Paramètres'!$C$21/5)*F$6)/12)*(1-(1-(1-'Paramètres'!$C$17^(1/12)))^37)/(1-'Paramètres'!$C$17^(1/12))*'Paramètres'!$C$7</f>
        <v/>
      </c>
      <c r="G9" s="85">
        <f>(($B9*('Paramètres'!$C$21/5)*G$6)/12)*(1-(1-(1-'Paramètres'!$C$17^(1/12)))^37)/(1-'Paramètres'!$C$17^(1/12))*'Paramètres'!$C$7</f>
        <v/>
      </c>
      <c r="H9" s="85">
        <f>(($B9*('Paramètres'!$C$21/5)*H$6)/12)*(1-(1-(1-'Paramètres'!$C$17^(1/12)))^37)/(1-'Paramètres'!$C$17^(1/12))*'Paramètres'!$C$7</f>
        <v/>
      </c>
    </row>
    <row r="10">
      <c r="B10" s="84" t="n">
        <v>1.5</v>
      </c>
      <c r="C10" s="85">
        <f>(($B10*('Paramètres'!$C$21/5)*C$6)/12)*(1-(1-(1-'Paramètres'!$C$17^(1/12)))^37)/(1-'Paramètres'!$C$17^(1/12))*'Paramètres'!$C$7</f>
        <v/>
      </c>
      <c r="D10" s="85">
        <f>(($B10*('Paramètres'!$C$21/5)*D$6)/12)*(1-(1-(1-'Paramètres'!$C$17^(1/12)))^37)/(1-'Paramètres'!$C$17^(1/12))*'Paramètres'!$C$7</f>
        <v/>
      </c>
      <c r="E10" s="85">
        <f>(($B10*('Paramètres'!$C$21/5)*E$6)/12)*(1-(1-(1-'Paramètres'!$C$17^(1/12)))^37)/(1-'Paramètres'!$C$17^(1/12))*'Paramètres'!$C$7</f>
        <v/>
      </c>
      <c r="F10" s="85">
        <f>(($B10*('Paramètres'!$C$21/5)*F$6)/12)*(1-(1-(1-'Paramètres'!$C$17^(1/12)))^37)/(1-'Paramètres'!$C$17^(1/12))*'Paramètres'!$C$7</f>
        <v/>
      </c>
      <c r="G10" s="85">
        <f>(($B10*('Paramètres'!$C$21/5)*G$6)/12)*(1-(1-(1-'Paramètres'!$C$17^(1/12)))^37)/(1-'Paramètres'!$C$17^(1/12))*'Paramètres'!$C$7</f>
        <v/>
      </c>
      <c r="H10" s="85">
        <f>(($B10*('Paramètres'!$C$21/5)*H$6)/12)*(1-(1-(1-'Paramètres'!$C$17^(1/12)))^37)/(1-'Paramètres'!$C$17^(1/12))*'Paramètres'!$C$7</f>
        <v/>
      </c>
    </row>
    <row r="11">
      <c r="B11" s="84" t="n">
        <v>2</v>
      </c>
      <c r="C11" s="85">
        <f>(($B11*('Paramètres'!$C$21/5)*C$6)/12)*(1-(1-(1-'Paramètres'!$C$17^(1/12)))^37)/(1-'Paramètres'!$C$17^(1/12))*'Paramètres'!$C$7</f>
        <v/>
      </c>
      <c r="D11" s="85">
        <f>(($B11*('Paramètres'!$C$21/5)*D$6)/12)*(1-(1-(1-'Paramètres'!$C$17^(1/12)))^37)/(1-'Paramètres'!$C$17^(1/12))*'Paramètres'!$C$7</f>
        <v/>
      </c>
      <c r="E11" s="85">
        <f>(($B11*('Paramètres'!$C$21/5)*E$6)/12)*(1-(1-(1-'Paramètres'!$C$17^(1/12)))^37)/(1-'Paramètres'!$C$17^(1/12))*'Paramètres'!$C$7</f>
        <v/>
      </c>
      <c r="F11" s="85">
        <f>(($B11*('Paramètres'!$C$21/5)*F$6)/12)*(1-(1-(1-'Paramètres'!$C$17^(1/12)))^37)/(1-'Paramètres'!$C$17^(1/12))*'Paramètres'!$C$7</f>
        <v/>
      </c>
      <c r="G11" s="85">
        <f>(($B11*('Paramètres'!$C$21/5)*G$6)/12)*(1-(1-(1-'Paramètres'!$C$17^(1/12)))^37)/(1-'Paramètres'!$C$17^(1/12))*'Paramètres'!$C$7</f>
        <v/>
      </c>
      <c r="H11" s="85">
        <f>(($B11*('Paramètres'!$C$21/5)*H$6)/12)*(1-(1-(1-'Paramètres'!$C$17^(1/12)))^37)/(1-'Paramètres'!$C$17^(1/12))*'Paramètres'!$C$7</f>
        <v/>
      </c>
    </row>
    <row r="12">
      <c r="B12" s="84" t="n">
        <v>3</v>
      </c>
      <c r="C12" s="85">
        <f>(($B12*('Paramètres'!$C$21/5)*C$6)/12)*(1-(1-(1-'Paramètres'!$C$17^(1/12)))^37)/(1-'Paramètres'!$C$17^(1/12))*'Paramètres'!$C$7</f>
        <v/>
      </c>
      <c r="D12" s="85">
        <f>(($B12*('Paramètres'!$C$21/5)*D$6)/12)*(1-(1-(1-'Paramètres'!$C$17^(1/12)))^37)/(1-'Paramètres'!$C$17^(1/12))*'Paramètres'!$C$7</f>
        <v/>
      </c>
      <c r="E12" s="85">
        <f>(($B12*('Paramètres'!$C$21/5)*E$6)/12)*(1-(1-(1-'Paramètres'!$C$17^(1/12)))^37)/(1-'Paramètres'!$C$17^(1/12))*'Paramètres'!$C$7</f>
        <v/>
      </c>
      <c r="F12" s="85">
        <f>(($B12*('Paramètres'!$C$21/5)*F$6)/12)*(1-(1-(1-'Paramètres'!$C$17^(1/12)))^37)/(1-'Paramètres'!$C$17^(1/12))*'Paramètres'!$C$7</f>
        <v/>
      </c>
      <c r="G12" s="85">
        <f>(($B12*('Paramètres'!$C$21/5)*G$6)/12)*(1-(1-(1-'Paramètres'!$C$17^(1/12)))^37)/(1-'Paramètres'!$C$17^(1/12))*'Paramètres'!$C$7</f>
        <v/>
      </c>
      <c r="H12" s="85">
        <f>(($B12*('Paramètres'!$C$21/5)*H$6)/12)*(1-(1-(1-'Paramètres'!$C$17^(1/12)))^37)/(1-'Paramètres'!$C$17^(1/12))*'Paramètres'!$C$7</f>
        <v/>
      </c>
    </row>
    <row r="15">
      <c r="B15" s="8" t="inlineStr">
        <is>
          <t>Levier valeur — prix de l'abonnement × taux de rétention</t>
        </is>
      </c>
    </row>
    <row r="16">
      <c r="B16" s="82" t="inlineStr">
        <is>
          <t>Prix \ Rétention</t>
        </is>
      </c>
      <c r="C16" s="83" t="n">
        <v>0.6</v>
      </c>
      <c r="D16" s="83" t="n">
        <v>0.7</v>
      </c>
      <c r="E16" s="83" t="n">
        <v>0.8</v>
      </c>
      <c r="F16" s="83" t="n">
        <v>0.85</v>
      </c>
      <c r="G16" s="83" t="n">
        <v>0.92</v>
      </c>
      <c r="H16" s="83" t="n">
        <v>0.97</v>
      </c>
    </row>
    <row r="17">
      <c r="B17" s="86" t="n">
        <v>95</v>
      </c>
      <c r="C17" s="85">
        <f>(('Paramètres'!$C$13*('Paramètres'!$C$21/5)*'Paramètres'!$C$15)/12)*(1-(1-(1-C$16^(1/12)))^37)/(1-C$16^(1/12))*$B17</f>
        <v/>
      </c>
      <c r="D17" s="85">
        <f>(('Paramètres'!$C$13*('Paramètres'!$C$21/5)*'Paramètres'!$C$15)/12)*(1-(1-(1-D$16^(1/12)))^37)/(1-D$16^(1/12))*$B17</f>
        <v/>
      </c>
      <c r="E17" s="85">
        <f>(('Paramètres'!$C$13*('Paramètres'!$C$21/5)*'Paramètres'!$C$15)/12)*(1-(1-(1-E$16^(1/12)))^37)/(1-E$16^(1/12))*$B17</f>
        <v/>
      </c>
      <c r="F17" s="85">
        <f>(('Paramètres'!$C$13*('Paramètres'!$C$21/5)*'Paramètres'!$C$15)/12)*(1-(1-(1-F$16^(1/12)))^37)/(1-F$16^(1/12))*$B17</f>
        <v/>
      </c>
      <c r="G17" s="85">
        <f>(('Paramètres'!$C$13*('Paramètres'!$C$21/5)*'Paramètres'!$C$15)/12)*(1-(1-(1-G$16^(1/12)))^37)/(1-G$16^(1/12))*$B17</f>
        <v/>
      </c>
      <c r="H17" s="85">
        <f>(('Paramètres'!$C$13*('Paramètres'!$C$21/5)*'Paramètres'!$C$15)/12)*(1-(1-(1-H$16^(1/12)))^37)/(1-H$16^(1/12))*$B17</f>
        <v/>
      </c>
    </row>
    <row r="18">
      <c r="B18" s="86" t="n">
        <v>145</v>
      </c>
      <c r="C18" s="85">
        <f>(('Paramètres'!$C$13*('Paramètres'!$C$21/5)*'Paramètres'!$C$15)/12)*(1-(1-(1-C$16^(1/12)))^37)/(1-C$16^(1/12))*$B18</f>
        <v/>
      </c>
      <c r="D18" s="85">
        <f>(('Paramètres'!$C$13*('Paramètres'!$C$21/5)*'Paramètres'!$C$15)/12)*(1-(1-(1-D$16^(1/12)))^37)/(1-D$16^(1/12))*$B18</f>
        <v/>
      </c>
      <c r="E18" s="85">
        <f>(('Paramètres'!$C$13*('Paramètres'!$C$21/5)*'Paramètres'!$C$15)/12)*(1-(1-(1-E$16^(1/12)))^37)/(1-E$16^(1/12))*$B18</f>
        <v/>
      </c>
      <c r="F18" s="85">
        <f>(('Paramètres'!$C$13*('Paramètres'!$C$21/5)*'Paramètres'!$C$15)/12)*(1-(1-(1-F$16^(1/12)))^37)/(1-F$16^(1/12))*$B18</f>
        <v/>
      </c>
      <c r="G18" s="85">
        <f>(('Paramètres'!$C$13*('Paramètres'!$C$21/5)*'Paramètres'!$C$15)/12)*(1-(1-(1-G$16^(1/12)))^37)/(1-G$16^(1/12))*$B18</f>
        <v/>
      </c>
      <c r="H18" s="85">
        <f>(('Paramètres'!$C$13*('Paramètres'!$C$21/5)*'Paramètres'!$C$15)/12)*(1-(1-(1-H$16^(1/12)))^37)/(1-H$16^(1/12))*$B18</f>
        <v/>
      </c>
    </row>
    <row r="19">
      <c r="B19" s="86" t="n">
        <v>185</v>
      </c>
      <c r="C19" s="85">
        <f>(('Paramètres'!$C$13*('Paramètres'!$C$21/5)*'Paramètres'!$C$15)/12)*(1-(1-(1-C$16^(1/12)))^37)/(1-C$16^(1/12))*$B19</f>
        <v/>
      </c>
      <c r="D19" s="85">
        <f>(('Paramètres'!$C$13*('Paramètres'!$C$21/5)*'Paramètres'!$C$15)/12)*(1-(1-(1-D$16^(1/12)))^37)/(1-D$16^(1/12))*$B19</f>
        <v/>
      </c>
      <c r="E19" s="85">
        <f>(('Paramètres'!$C$13*('Paramètres'!$C$21/5)*'Paramètres'!$C$15)/12)*(1-(1-(1-E$16^(1/12)))^37)/(1-E$16^(1/12))*$B19</f>
        <v/>
      </c>
      <c r="F19" s="85">
        <f>(('Paramètres'!$C$13*('Paramètres'!$C$21/5)*'Paramètres'!$C$15)/12)*(1-(1-(1-F$16^(1/12)))^37)/(1-F$16^(1/12))*$B19</f>
        <v/>
      </c>
      <c r="G19" s="85">
        <f>(('Paramètres'!$C$13*('Paramètres'!$C$21/5)*'Paramètres'!$C$15)/12)*(1-(1-(1-G$16^(1/12)))^37)/(1-G$16^(1/12))*$B19</f>
        <v/>
      </c>
      <c r="H19" s="85">
        <f>(('Paramètres'!$C$13*('Paramètres'!$C$21/5)*'Paramètres'!$C$15)/12)*(1-(1-(1-H$16^(1/12)))^37)/(1-H$16^(1/12))*$B19</f>
        <v/>
      </c>
    </row>
    <row r="20">
      <c r="B20" s="86" t="n">
        <v>245</v>
      </c>
      <c r="C20" s="85">
        <f>(('Paramètres'!$C$13*('Paramètres'!$C$21/5)*'Paramètres'!$C$15)/12)*(1-(1-(1-C$16^(1/12)))^37)/(1-C$16^(1/12))*$B20</f>
        <v/>
      </c>
      <c r="D20" s="85">
        <f>(('Paramètres'!$C$13*('Paramètres'!$C$21/5)*'Paramètres'!$C$15)/12)*(1-(1-(1-D$16^(1/12)))^37)/(1-D$16^(1/12))*$B20</f>
        <v/>
      </c>
      <c r="E20" s="85">
        <f>(('Paramètres'!$C$13*('Paramètres'!$C$21/5)*'Paramètres'!$C$15)/12)*(1-(1-(1-E$16^(1/12)))^37)/(1-E$16^(1/12))*$B20</f>
        <v/>
      </c>
      <c r="F20" s="85">
        <f>(('Paramètres'!$C$13*('Paramètres'!$C$21/5)*'Paramètres'!$C$15)/12)*(1-(1-(1-F$16^(1/12)))^37)/(1-F$16^(1/12))*$B20</f>
        <v/>
      </c>
      <c r="G20" s="85">
        <f>(('Paramètres'!$C$13*('Paramètres'!$C$21/5)*'Paramètres'!$C$15)/12)*(1-(1-(1-G$16^(1/12)))^37)/(1-G$16^(1/12))*$B20</f>
        <v/>
      </c>
      <c r="H20" s="85">
        <f>(('Paramètres'!$C$13*('Paramètres'!$C$21/5)*'Paramètres'!$C$15)/12)*(1-(1-(1-H$16^(1/12)))^37)/(1-H$16^(1/12))*$B20</f>
        <v/>
      </c>
    </row>
    <row r="21">
      <c r="B21" s="86" t="n">
        <v>320</v>
      </c>
      <c r="C21" s="85">
        <f>(('Paramètres'!$C$13*('Paramètres'!$C$21/5)*'Paramètres'!$C$15)/12)*(1-(1-(1-C$16^(1/12)))^37)/(1-C$16^(1/12))*$B21</f>
        <v/>
      </c>
      <c r="D21" s="85">
        <f>(('Paramètres'!$C$13*('Paramètres'!$C$21/5)*'Paramètres'!$C$15)/12)*(1-(1-(1-D$16^(1/12)))^37)/(1-D$16^(1/12))*$B21</f>
        <v/>
      </c>
      <c r="E21" s="85">
        <f>(('Paramètres'!$C$13*('Paramètres'!$C$21/5)*'Paramètres'!$C$15)/12)*(1-(1-(1-E$16^(1/12)))^37)/(1-E$16^(1/12))*$B21</f>
        <v/>
      </c>
      <c r="F21" s="85">
        <f>(('Paramètres'!$C$13*('Paramètres'!$C$21/5)*'Paramètres'!$C$15)/12)*(1-(1-(1-F$16^(1/12)))^37)/(1-F$16^(1/12))*$B21</f>
        <v/>
      </c>
      <c r="G21" s="85">
        <f>(('Paramètres'!$C$13*('Paramètres'!$C$21/5)*'Paramètres'!$C$15)/12)*(1-(1-(1-G$16^(1/12)))^37)/(1-G$16^(1/12))*$B21</f>
        <v/>
      </c>
      <c r="H21" s="85">
        <f>(('Paramètres'!$C$13*('Paramètres'!$C$21/5)*'Paramètres'!$C$15)/12)*(1-(1-(1-H$16^(1/12)))^37)/(1-H$16^(1/12))*$B21</f>
        <v/>
      </c>
    </row>
    <row r="22">
      <c r="B22" s="86" t="n">
        <v>450</v>
      </c>
      <c r="C22" s="85">
        <f>(('Paramètres'!$C$13*('Paramètres'!$C$21/5)*'Paramètres'!$C$15)/12)*(1-(1-(1-C$16^(1/12)))^37)/(1-C$16^(1/12))*$B22</f>
        <v/>
      </c>
      <c r="D22" s="85">
        <f>(('Paramètres'!$C$13*('Paramètres'!$C$21/5)*'Paramètres'!$C$15)/12)*(1-(1-(1-D$16^(1/12)))^37)/(1-D$16^(1/12))*$B22</f>
        <v/>
      </c>
      <c r="E22" s="85">
        <f>(('Paramètres'!$C$13*('Paramètres'!$C$21/5)*'Paramètres'!$C$15)/12)*(1-(1-(1-E$16^(1/12)))^37)/(1-E$16^(1/12))*$B22</f>
        <v/>
      </c>
      <c r="F22" s="85">
        <f>(('Paramètres'!$C$13*('Paramètres'!$C$21/5)*'Paramètres'!$C$15)/12)*(1-(1-(1-F$16^(1/12)))^37)/(1-F$16^(1/12))*$B22</f>
        <v/>
      </c>
      <c r="G22" s="85">
        <f>(('Paramètres'!$C$13*('Paramètres'!$C$21/5)*'Paramètres'!$C$15)/12)*(1-(1-(1-G$16^(1/12)))^37)/(1-G$16^(1/12))*$B22</f>
        <v/>
      </c>
      <c r="H22" s="85">
        <f>(('Paramètres'!$C$13*('Paramètres'!$C$21/5)*'Paramètres'!$C$15)/12)*(1-(1-(1-H$16^(1/12)))^37)/(1-H$16^(1/12))*$B22</f>
        <v/>
      </c>
    </row>
    <row r="25">
      <c r="B25" s="22" t="inlineStr">
        <is>
          <t>Lecture : chaque cellule recalcule le MRR du 37ᵉ mois en ne changeant que les deux</t>
        </is>
      </c>
    </row>
    <row r="26">
      <c r="B26" s="22" t="inlineStr">
        <is>
          <t>variables de la matrice. Les autres paramètres restent ceux de la feuille Paramètres.</t>
        </is>
      </c>
    </row>
  </sheetData>
  <conditionalFormatting sqref="C7:H12">
    <cfRule type="colorScale" priority="1">
      <colorScale>
        <cfvo type="min"/>
        <cfvo type="percentile" val="50"/>
        <cfvo type="max"/>
        <color rgb="00F0F7FF"/>
        <color rgb="008ABEF8"/>
        <color rgb="000071E3"/>
      </colorScale>
    </cfRule>
  </conditionalFormatting>
  <conditionalFormatting sqref="C17:H22">
    <cfRule type="colorScale" priority="2">
      <colorScale>
        <cfvo type="min"/>
        <cfvo type="percentile" val="50"/>
        <cfvo type="max"/>
        <color rgb="00F0F7FF"/>
        <color rgb="008ABEF8"/>
        <color rgb="000071E3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F52DE"/>
    <outlinePr summaryBelow="1" summaryRight="1"/>
    <pageSetUpPr/>
  </sheetPr>
  <dimension ref="B2:I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8" customWidth="1" min="8" max="8"/>
    <col width="18" customWidth="1" min="9" max="9"/>
  </cols>
  <sheetData>
    <row r="2">
      <c r="B2" s="6" t="inlineStr">
        <is>
          <t>Scénarios</t>
        </is>
      </c>
    </row>
    <row r="3">
      <c r="B3" s="7" t="inlineStr">
        <is>
          <t>Cinq trajectoires. Les hypothèses de chaque ligne sont modifiables directement ici.</t>
        </is>
      </c>
    </row>
    <row r="5" ht="30" customHeight="1">
      <c r="B5" s="43" t="inlineStr">
        <is>
          <t>Scénario</t>
        </is>
      </c>
      <c r="C5" s="43" t="inlineStr">
        <is>
          <t>Diagnostics/sem</t>
        </is>
      </c>
      <c r="D5" s="43" t="inlineStr">
        <is>
          <t>Conversion</t>
        </is>
      </c>
      <c r="E5" s="43" t="inlineStr">
        <is>
          <t>Rétention</t>
        </is>
      </c>
      <c r="F5" s="43" t="inlineStr">
        <is>
          <t>Prix abo</t>
        </is>
      </c>
      <c r="G5" s="43" t="inlineStr">
        <is>
          <t>Clients au 37ᵉ mois</t>
        </is>
      </c>
      <c r="H5" s="43" t="inlineStr">
        <is>
          <t>MRR au 37ᵉ mois</t>
        </is>
      </c>
      <c r="I5" s="43" t="inlineStr">
        <is>
          <t>Net moyen/mois</t>
        </is>
      </c>
    </row>
    <row r="6">
      <c r="B6" s="87" t="inlineStr">
        <is>
          <t>Pessimiste</t>
        </is>
      </c>
      <c r="C6" s="88" t="n">
        <v>1</v>
      </c>
      <c r="D6" s="89" t="n">
        <v>0.25</v>
      </c>
      <c r="E6" s="89" t="n">
        <v>0.65</v>
      </c>
      <c r="F6" s="90" t="n">
        <v>148</v>
      </c>
      <c r="G6" s="91">
        <f>(($C6*('Paramètres'!$C$21/5)*$D6)/12)*(1-(1-(1-$E6^(1/12)))^37)/(1-$E6^(1/12))</f>
        <v/>
      </c>
      <c r="H6" s="92">
        <f>G6*$F6</f>
        <v/>
      </c>
      <c r="I6" s="93">
        <f>(((($C6*('Paramètres'!$C$21/5)*$D6)/12)/(1-$E6^(1/12)))*(1-(1-(1-(1-$E6^(1/12)))^37)/(37*(1-$E6^(1/12))))*$F6+(($C6*('Paramètres'!$C$21/5)*$D6)/12)*'Paramètres'!$C$8)*'Paramètres'!$C$37</f>
        <v/>
      </c>
    </row>
    <row r="7">
      <c r="B7" s="87" t="inlineStr">
        <is>
          <t>Prudent</t>
        </is>
      </c>
      <c r="C7" s="88" t="n">
        <v>1</v>
      </c>
      <c r="D7" s="89" t="n">
        <v>0.375</v>
      </c>
      <c r="E7" s="89" t="n">
        <v>0.75</v>
      </c>
      <c r="F7" s="90" t="n">
        <v>185</v>
      </c>
      <c r="G7" s="91">
        <f>(($C7*('Paramètres'!$C$21/5)*$D7)/12)*(1-(1-(1-$E7^(1/12)))^37)/(1-$E7^(1/12))</f>
        <v/>
      </c>
      <c r="H7" s="92">
        <f>G7*$F7</f>
        <v/>
      </c>
      <c r="I7" s="93">
        <f>(((($C7*('Paramètres'!$C$21/5)*$D7)/12)/(1-$E7^(1/12)))*(1-(1-(1-(1-$E7^(1/12)))^37)/(37*(1-$E7^(1/12))))*$F7+(($C7*('Paramètres'!$C$21/5)*$D7)/12)*'Paramètres'!$C$8)*'Paramètres'!$C$37</f>
        <v/>
      </c>
    </row>
    <row r="8">
      <c r="B8" s="87" t="inlineStr">
        <is>
          <t>Référence</t>
        </is>
      </c>
      <c r="C8" s="94">
        <f>'Paramètres'!$C$13</f>
        <v/>
      </c>
      <c r="D8" s="95">
        <f>'Paramètres'!$C$15</f>
        <v/>
      </c>
      <c r="E8" s="95">
        <f>'Paramètres'!$C$17</f>
        <v/>
      </c>
      <c r="F8" s="96">
        <f>'Paramètres'!$C$7</f>
        <v/>
      </c>
      <c r="G8" s="91">
        <f>(($C8*('Paramètres'!$C$21/5)*$D8)/12)*(1-(1-(1-$E8^(1/12)))^37)/(1-$E8^(1/12))</f>
        <v/>
      </c>
      <c r="H8" s="92">
        <f>G8*$F8</f>
        <v/>
      </c>
      <c r="I8" s="93">
        <f>(((($C8*('Paramètres'!$C$21/5)*$D8)/12)/(1-$E8^(1/12)))*(1-(1-(1-(1-$E8^(1/12)))^37)/(37*(1-$E8^(1/12))))*$F8+(($C8*('Paramètres'!$C$21/5)*$D8)/12)*'Paramètres'!$C$8)*'Paramètres'!$C$37</f>
        <v/>
      </c>
    </row>
    <row r="9">
      <c r="B9" s="87" t="inlineStr">
        <is>
          <t>Optimiste</t>
        </is>
      </c>
      <c r="C9" s="88" t="n">
        <v>1.5</v>
      </c>
      <c r="D9" s="89" t="n">
        <v>0.6</v>
      </c>
      <c r="E9" s="89" t="n">
        <v>0.9</v>
      </c>
      <c r="F9" s="90" t="n">
        <v>185</v>
      </c>
      <c r="G9" s="91">
        <f>(($C9*('Paramètres'!$C$21/5)*$D9)/12)*(1-(1-(1-$E9^(1/12)))^37)/(1-$E9^(1/12))</f>
        <v/>
      </c>
      <c r="H9" s="92">
        <f>G9*$F9</f>
        <v/>
      </c>
      <c r="I9" s="93">
        <f>(((($C9*('Paramètres'!$C$21/5)*$D9)/12)/(1-$E9^(1/12)))*(1-(1-(1-(1-$E9^(1/12)))^37)/(37*(1-$E9^(1/12))))*$F9+(($C9*('Paramètres'!$C$21/5)*$D9)/12)*'Paramètres'!$C$8)*'Paramètres'!$C$37</f>
        <v/>
      </c>
    </row>
    <row r="10">
      <c r="B10" s="87" t="inlineStr">
        <is>
          <t>Agressif</t>
        </is>
      </c>
      <c r="C10" s="88" t="n">
        <v>2.5</v>
      </c>
      <c r="D10" s="89" t="n">
        <v>0.65</v>
      </c>
      <c r="E10" s="89" t="n">
        <v>0.92</v>
      </c>
      <c r="F10" s="90" t="n">
        <v>231</v>
      </c>
      <c r="G10" s="91">
        <f>(($C10*('Paramètres'!$C$21/5)*$D10)/12)*(1-(1-(1-$E10^(1/12)))^37)/(1-$E10^(1/12))</f>
        <v/>
      </c>
      <c r="H10" s="92">
        <f>G10*$F10</f>
        <v/>
      </c>
      <c r="I10" s="93">
        <f>(((($C10*('Paramètres'!$C$21/5)*$D10)/12)/(1-$E10^(1/12)))*(1-(1-(1-(1-$E10^(1/12)))^37)/(37*(1-$E10^(1/12))))*$F10+(($C10*('Paramètres'!$C$21/5)*$D10)/12)*'Paramètres'!$C$8)*'Paramètres'!$C$37</f>
        <v/>
      </c>
    </row>
    <row r="33">
      <c r="B33" s="22" t="inlineStr">
        <is>
          <t>Les cellules à fond crème sont modifiables : chaque scénario est indépendant.</t>
        </is>
      </c>
    </row>
    <row r="34">
      <c r="B34" s="22" t="inlineStr">
        <is>
          <t>La ligne « Référence » recopie automatiquement la feuille Paramètres.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2026-09-06T10:52:55Z</dcterms:created>
  <dcterms:modified xmlns:dcterms="http://purl.org/dc/terms/" xmlns:xsi="http://www.w3.org/2001/XMLSchema-instance" xsi:type="dcterms:W3CDTF">2026-09-06T10:52:55Z</dcterms:modified>
</cp:coreProperties>
</file>